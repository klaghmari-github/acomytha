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Lecture" sheetId="2" state="visible" r:id="rId4"/>
    <sheet name="Backlog validation" sheetId="3" state="visible" r:id="rId5"/>
    <sheet name="Pipeline" sheetId="4" state="visible" r:id="rId6"/>
  </sheets>
  <definedNames>
    <definedName function="false" hidden="false" localSheetId="2" name="_xlnm.Print_Titles" vbProcedure="false">'Backlog validation'!$1:$1</definedName>
    <definedName function="false" hidden="true" localSheetId="2" name="_xlnm._FilterDatabase" vbProcedure="false">'Backlog validation'!$A$1:$I$36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<sst xmlns="http://schemas.openxmlformats.org/spreadsheetml/2006/main" count="357" uniqueCount="236">
  <si>
    <t xml:space="preserve">Suivi validation</t>
  </si>
  <si>
    <t xml:space="preserve">Total</t>
  </si>
  <si>
    <t xml:space="preserve">P0</t>
  </si>
  <si>
    <t xml:space="preserve">P1</t>
  </si>
  <si>
    <t xml:space="preserve">À faire</t>
  </si>
  <si>
    <t xml:space="preserve">Fait</t>
  </si>
  <si>
    <t xml:space="preserve">% fait</t>
  </si>
  <si>
    <t xml:space="preserve">Validation automatique — backlog issu de VAL-HIST-001</t>
  </si>
  <si>
    <t xml:space="preserve">Complète F-VAL-001 / F-VAL-002 du backlog produit. Le moteur de validation vit en production éditoriale, jamais dans l'app d'écoute.</t>
  </si>
  <si>
    <t xml:space="preserve">Ce qui est vraiment nouveau par rapport au DFD Sentier</t>
  </si>
  <si>
    <t xml:space="preserve">• États APPROVED_TEXT puis APPROVED_PACKAGE (l'audio ne se produit qu'après texte validé).</t>
  </si>
  <si>
    <t xml:space="preserve">• Preuve pédagogique en 6 étapes + scores non moyennables + « leçon réellement retenue ».</t>
  </si>
  <si>
    <t xml:space="preserve">• Ontologie interne des dangers et facteurs d'imitabilité (pas seulement une liste de mots).</t>
  </si>
  <si>
    <t xml:space="preserve">• Validateur adversaire + deux modèles indépendants + escalade si désaccord.</t>
  </si>
  <si>
    <t xml:space="preserve">• Matrice de revue humaine par type de risque.</t>
  </si>
  <si>
    <t xml:space="preserve">• ASR : l'audio doit coller au texte signé ; changer le texte casse l'audio.</t>
  </si>
  <si>
    <t xml:space="preserve">• Corpus de calibration (mutations, négations) et retrait si les règles changent.</t>
  </si>
  <si>
    <t xml:space="preserve">Phases d'implémentation (doc source §19)</t>
  </si>
  <si>
    <t xml:space="preserve">VAL-1 Référentiels  ·  VAL-2 Graphe  ·  VAL-3 Règles déterministes</t>
  </si>
  <si>
    <t xml:space="preserve">VAL-4 Sémantique  ·  VAL-5 Orchestration  ·  VAL-6 Audio  ·  VAL-7 Pilote / humain</t>
  </si>
  <si>
    <t xml:space="preserve">Règle d'or à coller dans le README du repo validation</t>
  </si>
  <si>
    <t xml:space="preserve">Le générateur cherche une histoire attractive. Les validateurs cherchent les défauts. La publication ne croit aucune déclaration du générateur.</t>
  </si>
  <si>
    <t xml:space="preserve">ID</t>
  </si>
  <si>
    <t xml:space="preserve">Couche</t>
  </si>
  <si>
    <t xml:space="preserve">Titre</t>
  </si>
  <si>
    <t xml:space="preserve">Description</t>
  </si>
  <si>
    <t xml:space="preserve">Priorité</t>
  </si>
  <si>
    <t xml:space="preserve">Phase VAL</t>
  </si>
  <si>
    <t xml:space="preserve">Références</t>
  </si>
  <si>
    <t xml:space="preserve">Branche Git</t>
  </si>
  <si>
    <t xml:space="preserve">Statut</t>
  </si>
  <si>
    <t xml:space="preserve">VAL-001</t>
  </si>
  <si>
    <t xml:space="preserve">Gouvernance</t>
  </si>
  <si>
    <t xml:space="preserve">Le générateur ne s'auto-approuve pas</t>
  </si>
  <si>
    <t xml:space="preserve">Le service qui écrit l'arbre n'a pas le droit de le publier. Publication = preuves signées d'un autre service.</t>
  </si>
  <si>
    <t xml:space="preserve">VAL-5</t>
  </si>
  <si>
    <t xml:space="preserve">feat/VAL-001-separation-generateur</t>
  </si>
  <si>
    <t xml:space="preserve">VAL-002</t>
  </si>
  <si>
    <t xml:space="preserve">Une violation bloquante tue l'arbre</t>
  </si>
  <si>
    <t xml:space="preserve">Un nœud, une question, une correction ou un seul chemin défaillant rend l'arbre non publiable. Aucune moyenne 98/100 ne sauve.</t>
  </si>
  <si>
    <t xml:space="preserve">feat/VAL-002-blocking-absolu</t>
  </si>
  <si>
    <t xml:space="preserve">VAL-003</t>
  </si>
  <si>
    <t xml:space="preserve">Décisions explicables et reproductibles</t>
  </si>
  <si>
    <t xml:space="preserve">Chaque décision cite règle, version, segments, modèle, paramètres. On peut rejouer le contrôle.</t>
  </si>
  <si>
    <t xml:space="preserve">VAL-003 TRACE-001</t>
  </si>
  <si>
    <t xml:space="preserve">feat/VAL-003-tracabilite</t>
  </si>
  <si>
    <t xml:space="preserve">VAL-DEC-001</t>
  </si>
  <si>
    <t xml:space="preserve">États d'orchestrateur</t>
  </si>
  <si>
    <t xml:space="preserve">REJECTED / REVISION_REQUIRED / HUMAN_REVIEW_REQUIRED / APPROVED_TEXT / APPROVED_PACKAGE. Le store n'accepte que APPROVED_PACKAGE + versions exactes (DEC-001).</t>
  </si>
  <si>
    <t xml:space="preserve">DEC-001</t>
  </si>
  <si>
    <t xml:space="preserve">feat/VAL-DEC-001-etats-publication</t>
  </si>
  <si>
    <t xml:space="preserve">VAL-DEC-002</t>
  </si>
  <si>
    <t xml:space="preserve">Gravité BLOQUANT MAJEUR MINEUR INFO</t>
  </si>
  <si>
    <t xml:space="preserve">Bloquant = rejet. Majeur = révision ou humain. Mineur = reco. Info = journal.</t>
  </si>
  <si>
    <t xml:space="preserve">§4.2</t>
  </si>
  <si>
    <t xml:space="preserve">feat/VAL-DEC-002-severite</t>
  </si>
  <si>
    <t xml:space="preserve">VAL-PED-001</t>
  </si>
  <si>
    <t xml:space="preserve">Contrat leçon</t>
  </si>
  <si>
    <t xml:space="preserve">Fiche leçon obligatoire avant génération</t>
  </si>
  <si>
    <t xml:space="preserve">Pas d'arbre sans contrat versionné : objectif observable, messages essentiels, conduites sûres, confusions, interdits, preuves, sensibilité.</t>
  </si>
  <si>
    <t xml:space="preserve">VAL-1</t>
  </si>
  <si>
    <t xml:space="preserve">PED-001 F-TAX-002</t>
  </si>
  <si>
    <t xml:space="preserve">feat/VAL-PED-001-contrat-lecon</t>
  </si>
  <si>
    <t xml:space="preserve">VAL-PED-002</t>
  </si>
  <si>
    <t xml:space="preserve">Couverture des messages essentiels par chemin</t>
  </si>
  <si>
    <t xml:space="preserve">Tout chemin qui revendique la leçon doit porter les required_messages et n'introduire aucune confusion déclarée (PED-002).</t>
  </si>
  <si>
    <t xml:space="preserve">VAL-4</t>
  </si>
  <si>
    <t xml:space="preserve">PED-002</t>
  </si>
  <si>
    <t xml:space="preserve">feat/VAL-PED-002-cover-chemin</t>
  </si>
  <si>
    <t xml:space="preserve">VAL-PED-010</t>
  </si>
  <si>
    <t xml:space="preserve">Preuve d'apprentissage</t>
  </si>
  <si>
    <t xml:space="preserve">Six preuves minimales par chemin</t>
  </si>
  <si>
    <t xml:space="preserve">Situation audible, enjeu, modèle de conduite sûre, mobilisation (question/choix), confirmation positive, conséquence qui ne récompense pas l'inverse.</t>
  </si>
  <si>
    <t xml:space="preserve">PED-010 §7.1</t>
  </si>
  <si>
    <t xml:space="preserve">feat/VAL-PED-010-preuve-minimale</t>
  </si>
  <si>
    <t xml:space="preserve">VAL-PED-011</t>
  </si>
  <si>
    <t xml:space="preserve">Leçon réellement retenue vs leçon demandée</t>
  </si>
  <si>
    <t xml:space="preserve">Le validateur énonce ce qu'un enfant de 3-6 ans pourrait retenir, puis compare au contrat. Un mot-clé ne suffit pas.</t>
  </si>
  <si>
    <t xml:space="preserve">PED-011</t>
  </si>
  <si>
    <t xml:space="preserve">feat/VAL-PED-011-lecon-retenue</t>
  </si>
  <si>
    <t xml:space="preserve">VAL-PED-012</t>
  </si>
  <si>
    <t xml:space="preserve">Scores séparés non moyennables</t>
  </si>
  <si>
    <t xml:space="preserve">ALIGN, COVER, ACCURACY, ACTION, CLARITY, COHERENCE, CONTRADICTION. Échec de COVER/ACCURACY/CONTRADICTION = bloquant. Seuils versionnés, calibrés plus tard.</t>
  </si>
  <si>
    <t xml:space="preserve">§7.2</t>
  </si>
  <si>
    <t xml:space="preserve">feat/VAL-PED-012-scores-separes</t>
  </si>
  <si>
    <t xml:space="preserve">VAL-NEU-001</t>
  </si>
  <si>
    <t xml:space="preserve">Neutralité langage</t>
  </si>
  <si>
    <t xml:space="preserve">Analyse contextuelle, pas une liste noire seule</t>
  </si>
  <si>
    <t xml:space="preserve">Rôle du mot dans la phrase. Narrateur / héros / opposant / correction se contrôlent séparément.</t>
  </si>
  <si>
    <t xml:space="preserve">VAL-3</t>
  </si>
  <si>
    <t xml:space="preserve">NEU-001 NEU-003</t>
  </si>
  <si>
    <t xml:space="preserve">feat/VAL-NEU-001-contexte</t>
  </si>
  <si>
    <t xml:space="preserve">VAL-NEU-002</t>
  </si>
  <si>
    <t xml:space="preserve">Comportement plutôt qu'étiquette</t>
  </si>
  <si>
    <t xml:space="preserve">Refus : « il est méchant / bizarre / hyperactif ». Attendu : geste, émotion, besoin. Menace affective (« maman ne t'aimera plus ») bloquante.</t>
  </si>
  <si>
    <t xml:space="preserve">NEU-002</t>
  </si>
  <si>
    <t xml:space="preserve">feat/VAL-NEU-002-etiquettes</t>
  </si>
  <si>
    <t xml:space="preserve">VAL-NEU-004</t>
  </si>
  <si>
    <t xml:space="preserve">Moquerie brève et réparée, sans enseigner l'insulte</t>
  </si>
  <si>
    <t xml:space="preserve">Si une moquerie est nécessaire, justification éditoriale, brièveté, réparation immédiate. L'audio n'apprend pas un nouveau surnom.</t>
  </si>
  <si>
    <t xml:space="preserve">NEU-004 REL.MOQ</t>
  </si>
  <si>
    <t xml:space="preserve">feat/VAL-NEU-004-moquerie-contenue</t>
  </si>
  <si>
    <t xml:space="preserve">VAL-NEU-010</t>
  </si>
  <si>
    <t xml:space="preserve">Neutralité contenu</t>
  </si>
  <si>
    <t xml:space="preserve">Registre hors jardin absent de l'audio</t>
  </si>
  <si>
    <t xml:space="preserve">Religion, politique, guerre, crime, tuerie, discours de genre, famille hors papa-maman-enfants : absents, pas « expliqués pour être rejetés ». Listes en métadonnées internes seulement.</t>
  </si>
  <si>
    <t xml:space="preserve">NEUT-001 RM-16 F-NEU-001</t>
  </si>
  <si>
    <t xml:space="preserve">feat/VAL-NEU-010-hors-jardin</t>
  </si>
  <si>
    <t xml:space="preserve">VAL-SAFE-001</t>
  </si>
  <si>
    <t xml:space="preserve">Non-suggestion</t>
  </si>
  <si>
    <t xml:space="preserve">Filtre unique texte / question / correction / audio</t>
  </si>
  <si>
    <t xml:space="preserve">Tout ce que l'enfant entend passe le même filtre. Métadonnées internes de danger jamais injectées dans l'audio (POS-006 SAFE-001).</t>
  </si>
  <si>
    <t xml:space="preserve">SAFE-001</t>
  </si>
  <si>
    <t xml:space="preserve">feat/VAL-SAFE-001-perimetre-enfant</t>
  </si>
  <si>
    <t xml:space="preserve">VAL-SAFE-002</t>
  </si>
  <si>
    <t xml:space="preserve">Signaux d'imitabilité bloquants</t>
  </si>
  <si>
    <t xml:space="preserve">Action nouvelle précise ; séquence même niée ; choix dangereux ; correction qui répète le geste ; danger amusant / héroïque ; héros modèle risqué ; bruitage jeu.</t>
  </si>
  <si>
    <t xml:space="preserve">§6.2 F-NEU-002</t>
  </si>
  <si>
    <t xml:space="preserve">feat/VAL-SAFE-002-imitabilite</t>
  </si>
  <si>
    <t xml:space="preserve">VAL-SAFE-003</t>
  </si>
  <si>
    <t xml:space="preserve">Forme obligatoire de la consigne sûre</t>
  </si>
  <si>
    <t xml:space="preserve">1 action sûre 2 place du corps 3 adulte nommé 4 pas d'opératoire du danger 5 question sur la conduite sûre 6 après erreur, seulement la conduite sûre.</t>
  </si>
  <si>
    <t xml:space="preserve">§6.3 POS-001-005</t>
  </si>
  <si>
    <t xml:space="preserve">feat/VAL-SAFE-003-script-positif</t>
  </si>
  <si>
    <t xml:space="preserve">VAL-SAFE-004</t>
  </si>
  <si>
    <t xml:space="preserve">Ontologie des dangers interne</t>
  </si>
  <si>
    <t xml:space="preserve">Catégories, contextes, acteurs, actions sûres, concepts réservés au contrôle, facteurs d'imitabilité, niveau de revue. Jamais lue à l'enfant.</t>
  </si>
  <si>
    <t xml:space="preserve">§6.1</t>
  </si>
  <si>
    <t xml:space="preserve">feat/VAL-SAFE-004-ontologie-dangers</t>
  </si>
  <si>
    <t xml:space="preserve">VAL-SAFE-005</t>
  </si>
  <si>
    <t xml:space="preserve">Revue renforcée sécurité physique</t>
  </si>
  <si>
    <t xml:space="preserve">Circulation, hauteur, électricité, feu, eau, ingestion, coupant, médicaments : auto renforcé + humain selon catégorie (SAFE-002).</t>
  </si>
  <si>
    <t xml:space="preserve">VAL-7</t>
  </si>
  <si>
    <t xml:space="preserve">SAFE-002 HUM</t>
  </si>
  <si>
    <t xml:space="preserve">feat/VAL-SAFE-005-revue-securite</t>
  </si>
  <si>
    <t xml:space="preserve">VAL-GRAPH-001</t>
  </si>
  <si>
    <t xml:space="preserve">Graphe</t>
  </si>
  <si>
    <t xml:space="preserve">Compilateur structurel</t>
  </si>
  <si>
    <t xml:space="preserve">Racine unique, feuilles, pas d'orphelin, pas de boucle non bornée, chaque intention/repli pointe un nœud, silence/ambigu/erreur ont un défaut.</t>
  </si>
  <si>
    <t xml:space="preserve">VAL-2</t>
  </si>
  <si>
    <t xml:space="preserve">GRAPH §8.1 F-NAR-001</t>
  </si>
  <si>
    <t xml:space="preserve">feat/VAL-GRAPH-001-compilateur</t>
  </si>
  <si>
    <t xml:space="preserve">VAL-GRAPH-002</t>
  </si>
  <si>
    <t xml:space="preserve">Couverture 100 % des chemins</t>
  </si>
  <si>
    <t xml:space="preserve">Énumération racine-feuille. Mémoïsation des sous-chemins OK, échantillonnage interdit. Rapport : théoriques / testés / approuvés (GRAPH-001).</t>
  </si>
  <si>
    <t xml:space="preserve">GRAPH-001 F-GEN-002</t>
  </si>
  <si>
    <t xml:space="preserve">feat/VAL-GRAPH-002-couverture</t>
  </si>
  <si>
    <t xml:space="preserve">VAL-GRAPH-003</t>
  </si>
  <si>
    <t xml:space="preserve">Trois niveaux de validation</t>
  </si>
  <si>
    <t xml:space="preserve">Élément isolé + contexte local + chemin complet (GRAPH-002). Continuité personnages/objets/lieux.</t>
  </si>
  <si>
    <t xml:space="preserve">GRAPH-002</t>
  </si>
  <si>
    <t xml:space="preserve">feat/VAL-GRAPH-003-trois-niveaux</t>
  </si>
  <si>
    <t xml:space="preserve">VAL-GRAPH-004</t>
  </si>
  <si>
    <t xml:space="preserve">Élagage vs exclusions parentales</t>
  </si>
  <si>
    <t xml:space="preserve">Aucun chemin du paquet publié ne viole une exclusion. Question sans option fantôme.</t>
  </si>
  <si>
    <t xml:space="preserve">PRU FOR-002</t>
  </si>
  <si>
    <t xml:space="preserve">feat/VAL-GRAPH-004-elagage</t>
  </si>
  <si>
    <t xml:space="preserve">VAL-INT-001</t>
  </si>
  <si>
    <t xml:space="preserve">Interactions</t>
  </si>
  <si>
    <t xml:space="preserve">Contrat de question</t>
  </si>
  <si>
    <t xml:space="preserve">Audible sans image, 1-3 mots, intentions fermées, négation non fusionnée, relance si ambigu, NO_ANSWER, correction positive, choix narratif non moralisant.</t>
  </si>
  <si>
    <t xml:space="preserve">§9 F-INT-001</t>
  </si>
  <si>
    <t xml:space="preserve">feat/VAL-INT-001-contrat-question</t>
  </si>
  <si>
    <t xml:space="preserve">VAL-AI-001</t>
  </si>
  <si>
    <t xml:space="preserve">Sémantique IA</t>
  </si>
  <si>
    <t xml:space="preserve">Sortie structurée obligatoire</t>
  </si>
  <si>
    <t xml:space="preserve">Pas d'avis libre. JSON : validator, version, decision, findings[] avec rule_id, severity, node, span, explanation. Sortie invalide = échec technique.</t>
  </si>
  <si>
    <t xml:space="preserve">§11.1</t>
  </si>
  <si>
    <t xml:space="preserve">feat/VAL-AI-001-schema-sortie</t>
  </si>
  <si>
    <t xml:space="preserve">VAL-AI-002</t>
  </si>
  <si>
    <t xml:space="preserve">Deux validateurs indépendants + adversaire</t>
  </si>
  <si>
    <t xml:space="preserve">Critères critiques : au moins deux modèles. Désaccord → humain. Questions adversariales : leçon réellement retenue, action imitable, négation mal lue, qui est récompensé, message inverse (AI-001 à 003).</t>
  </si>
  <si>
    <t xml:space="preserve">AI-001 AI-002</t>
  </si>
  <si>
    <t xml:space="preserve">feat/VAL-AI-002-adversaire</t>
  </si>
  <si>
    <t xml:space="preserve">VAL-AI-003</t>
  </si>
  <si>
    <t xml:space="preserve">Contexte complet au validateur</t>
  </si>
  <si>
    <t xml:space="preserve">Texte + contrat de leçon + chemin entier. Un contrôle phrase à phrase ne suffit pas (AI-002).</t>
  </si>
  <si>
    <t xml:space="preserve">AI-002</t>
  </si>
  <si>
    <t xml:space="preserve">feat/VAL-AI-003-contexte-chemin</t>
  </si>
  <si>
    <t xml:space="preserve">VAL-HUM-001</t>
  </si>
  <si>
    <t xml:space="preserve">Revue humaine</t>
  </si>
  <si>
    <t xml:space="preserve">Matrice de revue obligatoire</t>
  </si>
  <si>
    <t xml:space="preserve">Sécurité physique renforcée. Violence/harcèlement : psychopédagogie. Secrets/corps : protection enfance. Santé clinique : pro. Besoins spécifiques : relecteur formé. Leçon parentale : qualification avant génération.</t>
  </si>
  <si>
    <t xml:space="preserve">§13 HUM-001</t>
  </si>
  <si>
    <t xml:space="preserve">feat/VAL-HUM-001-matrice-revue</t>
  </si>
  <si>
    <t xml:space="preserve">VAL-HUM-002</t>
  </si>
  <si>
    <t xml:space="preserve">Approbation nominative révocable</t>
  </si>
  <si>
    <t xml:space="preserve">Le réviseur écoute aussi sans être guidé par les alertes. Approbation datée, liée à une version, révocable (HUM-002).</t>
  </si>
  <si>
    <t xml:space="preserve">HUM-002</t>
  </si>
  <si>
    <t xml:space="preserve">feat/VAL-HUM-002-approbation-humaine</t>
  </si>
  <si>
    <t xml:space="preserve">VAL-AUD-001</t>
  </si>
  <si>
    <t xml:space="preserve">Audio</t>
  </si>
  <si>
    <t xml:space="preserve">Texte figé avant TTS</t>
  </si>
  <si>
    <t xml:space="preserve">Toute retouche du texte invalide l'audio déjà produit (AUD-001).</t>
  </si>
  <si>
    <t xml:space="preserve">VAL-6</t>
  </si>
  <si>
    <t xml:space="preserve">AUD-001 GEN-003</t>
  </si>
  <si>
    <t xml:space="preserve">feat/VAL-AUD-001-texte-fige</t>
  </si>
  <si>
    <t xml:space="preserve">VAL-AUD-002</t>
  </si>
  <si>
    <t xml:space="preserve">Transcription vs texte approuvé</t>
  </si>
  <si>
    <t xml:space="preserve">STT de chaque fichier. Divergence substantielle = rejet paquet (AUD-002). Pas d'audio d'une vieille version.</t>
  </si>
  <si>
    <t xml:space="preserve">AUD-002 F-AUD-002</t>
  </si>
  <si>
    <t xml:space="preserve">feat/VAL-AUD-002-asr-match</t>
  </si>
  <si>
    <t xml:space="preserve">VAL-AUD-003</t>
  </si>
  <si>
    <t xml:space="preserve">Intelligibilité et durée réelle</t>
  </si>
  <si>
    <t xml:space="preserve">Prononciation, vitesse, pauses, volume, bruitages qui masquent ou rendent le danger amusant, raccords. Durée min/moy/max par chemin, pauses et interactions comprises.</t>
  </si>
  <si>
    <t xml:space="preserve">§14 F-AUD-002</t>
  </si>
  <si>
    <t xml:space="preserve">feat/VAL-AUD-003-acoustique</t>
  </si>
  <si>
    <t xml:space="preserve">VAL-TEST-001</t>
  </si>
  <si>
    <t xml:space="preserve">Calibration</t>
  </si>
  <si>
    <t xml:space="preserve">Corpus annoté et mutations</t>
  </si>
  <si>
    <t xml:space="preserve">Positifs, négatifs explicites, implicites, négations, diversité/étiquettes, oralité enfant, mutation d'une seule faute dans une histoire sûre, non-régression. Contre-exemples dangereux hors contenu enfant.</t>
  </si>
  <si>
    <t xml:space="preserve">TEST-001 TEST-002</t>
  </si>
  <si>
    <t xml:space="preserve">feat/VAL-TEST-001-corpus-calibration</t>
  </si>
  <si>
    <t xml:space="preserve">VAL-TEST-002</t>
  </si>
  <si>
    <t xml:space="preserve">Indicateurs rappel / précision</t>
  </si>
  <si>
    <t xml:space="preserve">Rappel sécurité prioritaire (~100 %). Précision pour limiter le bruit. Accord humain-machine, accord inter-validateurs, taux de rejet par règle, régression, couverture chemins = 100 %.</t>
  </si>
  <si>
    <t xml:space="preserve">P2</t>
  </si>
  <si>
    <t xml:space="preserve">§17</t>
  </si>
  <si>
    <t xml:space="preserve">feat/VAL-TEST-002-metriques</t>
  </si>
  <si>
    <t xml:space="preserve">VAL-TRACE-002</t>
  </si>
  <si>
    <t xml:space="preserve">Exploitation</t>
  </si>
  <si>
    <t xml:space="preserve">Retest et retrait après changement de règles</t>
  </si>
  <si>
    <t xml:space="preserve">Nouvelle version de règle/ontologie → retest ciblé. Risque critique découvert après coup → retrait des paquets déjà téléchargés (TRACE-001 TRACE-002 F-ADM-002).</t>
  </si>
  <si>
    <t xml:space="preserve">TRACE-001 TRACE-002</t>
  </si>
  <si>
    <t xml:space="preserve">feat/VAL-TRACE-002-retest-retrait</t>
  </si>
  <si>
    <t xml:space="preserve">Ordre d'exécution (un arbre)</t>
  </si>
  <si>
    <t xml:space="preserve">1. Contrat pédagogique versionné et approuvé.</t>
  </si>
  <si>
    <t xml:space="preserve">2. Génération arbre (hors validateur).</t>
  </si>
  <si>
    <t xml:space="preserve">3. Compilateur graphe + couverture 100 %.</t>
  </si>
  <si>
    <t xml:space="preserve">4. Règles déterministes : lexique, âge, hors-jardin, imitabilité, questions.</t>
  </si>
  <si>
    <t xml:space="preserve">5. Sémantique + adversaire sur chaque chemin (leçon retenue, contradiction).</t>
  </si>
  <si>
    <t xml:space="preserve">6. Orchestrateur → REJECTED / REVISION / HUMAN / APPROVED_TEXT.</t>
  </si>
  <si>
    <t xml:space="preserve">7. Revue humaine si matrice ou désaccord.</t>
  </si>
  <si>
    <t xml:space="preserve">8. TTS uniquement si APPROVED_TEXT.</t>
  </si>
  <si>
    <t xml:space="preserve">9. ASR + contrôles acoustiques + durées réelles.</t>
  </si>
  <si>
    <t xml:space="preserve">10. Signature APPROVED_PACKAGE. Publication. Rien d'autre.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</si>
</sst>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5D50"/>
      <name val="Calibri"/>
      <family val="0"/>
      <charset val="1"/>
    </font>
    <font>
      <b val="true"/>
      <sz val="11"/>
      <color rgb="FF2F5D50"/>
      <name val="Calibri"/>
      <family val="0"/>
      <charset val="1"/>
    </font>
    <font>
      <b val="true"/>
      <sz val="14"/>
      <color rgb="FF2C2C2C"/>
      <name val="Calibri"/>
      <family val="0"/>
      <charset val="1"/>
    </font>
    <font>
      <i val="true"/>
      <sz val="11"/>
      <color rgb="FF5A5A5A"/>
      <name val="Calibri"/>
      <family val="0"/>
      <charset val="1"/>
    </font>
    <font>
      <sz val="10"/>
      <color rgb="FF2C2C2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C45C2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8D7D0"/>
        <bgColor rgb="FFF8EDE4"/>
      </patternFill>
    </fill>
    <fill>
      <patternFill patternType="solid">
        <fgColor rgb="FF2F5D50"/>
        <bgColor rgb="FF5A5A5A"/>
      </patternFill>
    </fill>
    <fill>
      <patternFill patternType="solid">
        <fgColor rgb="FFF8EDE4"/>
        <bgColor rgb="FFE6F0EC"/>
      </patternFill>
    </fill>
    <fill>
      <patternFill patternType="solid">
        <fgColor rgb="FFE6F0EC"/>
        <bgColor rgb="FFF8ED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3"/>
      </left>
      <right style="thin">
        <color rgb="FFD0D5D3"/>
      </right>
      <top style="thin">
        <color rgb="FFD0D5D3"/>
      </top>
      <bottom style="thin">
        <color rgb="FFD0D5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D50"/>
          <bgColor rgb="FF000000"/>
        </patternFill>
      </fill>
    </dxf>
    <dxf>
      <fill>
        <patternFill patternType="solid">
          <fgColor rgb="FFE6F0EC"/>
          <bgColor rgb="FF000000"/>
        </patternFill>
      </fill>
    </dxf>
    <dxf>
      <fill>
        <patternFill patternType="solid">
          <fgColor rgb="FFF8D7D0"/>
          <bgColor rgb="FF000000"/>
        </patternFill>
      </fill>
    </dxf>
    <dxf>
      <fill>
        <patternFill patternType="solid">
          <fgColor rgb="FFF8EDE4"/>
          <bgColor rgb="FF000000"/>
        </patternFill>
      </fill>
    </dxf>
    <dxf>
      <fill>
        <patternFill patternType="solid">
          <fgColor rgb="FFC45C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C2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EDE4"/>
      <rgbColor rgb="FFE6F0EC"/>
      <rgbColor rgb="FF660066"/>
      <rgbColor rgb="FFFF8080"/>
      <rgbColor rgb="FF0066CC"/>
      <rgbColor rgb="FFD0D5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0"/>
      <rgbColor rgb="FF3366FF"/>
      <rgbColor rgb="FF33CCCC"/>
      <rgbColor rgb="FF99CC00"/>
      <rgbColor rgb="FFFFCC00"/>
      <rgbColor rgb="FFFF9900"/>
      <rgbColor rgb="FFC45C26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2F5D50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2"/>
  </cols>
  <sheetData>
    <row r="2" customFormat="false" ht="22.05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  <c r="C4" s="3" t="n">
        <f aca="false">COUNTA('Backlog validation'!A2:A36)</f>
        <v>35</v>
      </c>
    </row>
    <row r="5" customFormat="false" ht="17.35" hidden="false" customHeight="false" outlineLevel="0" collapsed="false">
      <c r="B5" s="2" t="s">
        <v>2</v>
      </c>
      <c r="C5" s="4" t="n">
        <f aca="false">COUNTIF('Backlog validation'!E:E,"P0")</f>
        <v>19</v>
      </c>
    </row>
    <row r="6" customFormat="false" ht="17.35" hidden="false" customHeight="false" outlineLevel="0" collapsed="false">
      <c r="B6" s="2" t="s">
        <v>3</v>
      </c>
      <c r="C6" s="3" t="n">
        <f aca="false">COUNTIF('Backlog validation'!E:E,"P1")</f>
        <v>14</v>
      </c>
    </row>
    <row r="7" customFormat="false" ht="17.35" hidden="false" customHeight="false" outlineLevel="0" collapsed="false">
      <c r="B7" s="2" t="s">
        <v>4</v>
      </c>
      <c r="C7" s="3" t="n">
        <f aca="false">COUNTIF('Backlog validation'!I:I,"À faire")</f>
        <v>35</v>
      </c>
    </row>
    <row r="8" customFormat="false" ht="17.35" hidden="false" customHeight="false" outlineLevel="0" collapsed="false">
      <c r="B8" s="2" t="s">
        <v>5</v>
      </c>
      <c r="C8" s="3" t="n">
        <f aca="false">COUNTIF('Backlog validation'!I:I,"Fait")</f>
        <v>0</v>
      </c>
    </row>
    <row r="9" customFormat="false" ht="17.35" hidden="false" customHeight="false" outlineLevel="0" collapsed="false">
      <c r="B9" s="2" t="s">
        <v>6</v>
      </c>
      <c r="C9" s="5" t="n">
        <f aca="false">IF(C4=0,0,C8/C4)</f>
        <v>0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Suivi validation</oddHeader>
    <oddFooter>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6" t="s">
        <v>7</v>
      </c>
      <c r="C2" s="6"/>
      <c r="D2" s="6"/>
      <c r="E2" s="6"/>
      <c r="F2" s="6"/>
    </row>
    <row r="3" customFormat="false" ht="15" hidden="false" customHeight="true" outlineLevel="0" collapsed="false">
      <c r="B3" s="7" t="s">
        <v>8</v>
      </c>
      <c r="C3" s="7"/>
      <c r="D3" s="7"/>
      <c r="E3" s="7"/>
      <c r="F3" s="7"/>
    </row>
    <row r="5" customFormat="false" ht="15" hidden="false" customHeight="false" outlineLevel="0" collapsed="false">
      <c r="B5" s="8" t="s">
        <v>9</v>
      </c>
      <c r="C5" s="8"/>
      <c r="D5" s="8"/>
      <c r="E5" s="8"/>
      <c r="F5" s="8"/>
    </row>
    <row r="6" customFormat="false" ht="15" hidden="false" customHeight="false" outlineLevel="0" collapsed="false">
      <c r="B6" s="9" t="s">
        <v>10</v>
      </c>
      <c r="C6" s="9"/>
      <c r="D6" s="9"/>
      <c r="E6" s="9"/>
      <c r="F6" s="9"/>
    </row>
    <row r="7" customFormat="false" ht="15" hidden="false" customHeight="false" outlineLevel="0" collapsed="false">
      <c r="B7" s="9" t="s">
        <v>11</v>
      </c>
      <c r="C7" s="9"/>
      <c r="D7" s="9"/>
      <c r="E7" s="9"/>
      <c r="F7" s="9"/>
    </row>
    <row r="8" customFormat="false" ht="15" hidden="false" customHeight="false" outlineLevel="0" collapsed="false">
      <c r="B8" s="9" t="s">
        <v>12</v>
      </c>
      <c r="C8" s="9"/>
      <c r="D8" s="9"/>
      <c r="E8" s="9"/>
      <c r="F8" s="9"/>
    </row>
    <row r="9" customFormat="false" ht="15" hidden="false" customHeight="false" outlineLevel="0" collapsed="false">
      <c r="B9" s="9" t="s">
        <v>13</v>
      </c>
      <c r="C9" s="9"/>
      <c r="D9" s="9"/>
      <c r="E9" s="9"/>
      <c r="F9" s="9"/>
    </row>
    <row r="10" customFormat="false" ht="15" hidden="false" customHeight="false" outlineLevel="0" collapsed="false">
      <c r="B10" s="9" t="s">
        <v>14</v>
      </c>
      <c r="C10" s="9"/>
      <c r="D10" s="9"/>
      <c r="E10" s="9"/>
      <c r="F10" s="9"/>
    </row>
    <row r="11" customFormat="false" ht="15" hidden="false" customHeight="false" outlineLevel="0" collapsed="false">
      <c r="B11" s="9" t="s">
        <v>15</v>
      </c>
      <c r="C11" s="9"/>
      <c r="D11" s="9"/>
      <c r="E11" s="9"/>
      <c r="F11" s="9"/>
    </row>
    <row r="12" customFormat="false" ht="15" hidden="false" customHeight="false" outlineLevel="0" collapsed="false">
      <c r="B12" s="9" t="s">
        <v>16</v>
      </c>
      <c r="C12" s="9"/>
      <c r="D12" s="9"/>
      <c r="E12" s="9"/>
      <c r="F12" s="9"/>
    </row>
    <row r="14" customFormat="false" ht="15" hidden="false" customHeight="false" outlineLevel="0" collapsed="false">
      <c r="B14" s="8" t="s">
        <v>17</v>
      </c>
      <c r="C14" s="8"/>
      <c r="D14" s="8"/>
      <c r="E14" s="8"/>
      <c r="F14" s="8"/>
    </row>
    <row r="15" customFormat="false" ht="15" hidden="false" customHeight="false" outlineLevel="0" collapsed="false">
      <c r="B15" s="9" t="s">
        <v>18</v>
      </c>
      <c r="C15" s="9"/>
      <c r="D15" s="9"/>
      <c r="E15" s="9"/>
      <c r="F15" s="9"/>
    </row>
    <row r="16" customFormat="false" ht="15" hidden="false" customHeight="false" outlineLevel="0" collapsed="false">
      <c r="B16" s="9" t="s">
        <v>19</v>
      </c>
      <c r="C16" s="9"/>
      <c r="D16" s="9"/>
      <c r="E16" s="9"/>
      <c r="F16" s="9"/>
    </row>
    <row r="18" customFormat="false" ht="15" hidden="false" customHeight="false" outlineLevel="0" collapsed="false">
      <c r="B18" s="8" t="s">
        <v>20</v>
      </c>
      <c r="C18" s="8"/>
      <c r="D18" s="8"/>
      <c r="E18" s="8"/>
      <c r="F18" s="8"/>
    </row>
    <row r="19" customFormat="false" ht="15" hidden="false" customHeight="false" outlineLevel="0" collapsed="false">
      <c r="B19" s="9" t="s">
        <v>21</v>
      </c>
      <c r="C19" s="9"/>
      <c r="D19" s="9"/>
      <c r="E19" s="9"/>
      <c r="F19" s="9"/>
    </row>
  </sheetData>
  <mergeCells count="15">
    <mergeCell ref="B2:F2"/>
    <mergeCell ref="B3:F3"/>
    <mergeCell ref="B5:F5"/>
    <mergeCell ref="B6:F6"/>
    <mergeCell ref="B7:F7"/>
    <mergeCell ref="B8:F8"/>
    <mergeCell ref="B9:F9"/>
    <mergeCell ref="B10:F10"/>
    <mergeCell ref="B11:F11"/>
    <mergeCell ref="B12:F12"/>
    <mergeCell ref="B14:F14"/>
    <mergeCell ref="B15:F15"/>
    <mergeCell ref="B16:F16"/>
    <mergeCell ref="B18:F18"/>
    <mergeCell ref="B19:F19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Validation</oddHeader>
    <oddFooter>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7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</row>
    <row r="2" customFormat="false" ht="55.5" hidden="false" customHeight="true" outlineLevel="0" collapsed="false">
      <c r="A2" s="11" t="s">
        <v>31</v>
      </c>
      <c r="B2" s="12" t="s">
        <v>32</v>
      </c>
      <c r="C2" s="12" t="s">
        <v>33</v>
      </c>
      <c r="D2" s="12" t="s">
        <v>34</v>
      </c>
      <c r="E2" s="12" t="s">
        <v>2</v>
      </c>
      <c r="F2" s="12" t="s">
        <v>35</v>
      </c>
      <c r="G2" s="12" t="s">
        <v>31</v>
      </c>
      <c r="H2" s="12" t="s">
        <v>36</v>
      </c>
      <c r="I2" s="12" t="s">
        <v>4</v>
      </c>
    </row>
    <row r="3" customFormat="false" ht="55.5" hidden="false" customHeight="true" outlineLevel="0" collapsed="false">
      <c r="A3" s="11" t="s">
        <v>37</v>
      </c>
      <c r="B3" s="12" t="s">
        <v>32</v>
      </c>
      <c r="C3" s="12" t="s">
        <v>38</v>
      </c>
      <c r="D3" s="12" t="s">
        <v>39</v>
      </c>
      <c r="E3" s="12" t="s">
        <v>2</v>
      </c>
      <c r="F3" s="12" t="s">
        <v>35</v>
      </c>
      <c r="G3" s="12" t="s">
        <v>37</v>
      </c>
      <c r="H3" s="12" t="s">
        <v>40</v>
      </c>
      <c r="I3" s="12" t="s">
        <v>4</v>
      </c>
    </row>
    <row r="4" customFormat="false" ht="55.5" hidden="false" customHeight="true" outlineLevel="0" collapsed="false">
      <c r="A4" s="11" t="s">
        <v>41</v>
      </c>
      <c r="B4" s="12" t="s">
        <v>32</v>
      </c>
      <c r="C4" s="12" t="s">
        <v>42</v>
      </c>
      <c r="D4" s="12" t="s">
        <v>43</v>
      </c>
      <c r="E4" s="12" t="s">
        <v>2</v>
      </c>
      <c r="F4" s="12" t="s">
        <v>35</v>
      </c>
      <c r="G4" s="12" t="s">
        <v>44</v>
      </c>
      <c r="H4" s="12" t="s">
        <v>45</v>
      </c>
      <c r="I4" s="12" t="s">
        <v>4</v>
      </c>
    </row>
    <row r="5" customFormat="false" ht="55.5" hidden="false" customHeight="true" outlineLevel="0" collapsed="false">
      <c r="A5" s="11" t="s">
        <v>46</v>
      </c>
      <c r="B5" s="12" t="s">
        <v>32</v>
      </c>
      <c r="C5" s="12" t="s">
        <v>47</v>
      </c>
      <c r="D5" s="12" t="s">
        <v>48</v>
      </c>
      <c r="E5" s="12" t="s">
        <v>2</v>
      </c>
      <c r="F5" s="12" t="s">
        <v>35</v>
      </c>
      <c r="G5" s="12" t="s">
        <v>49</v>
      </c>
      <c r="H5" s="12" t="s">
        <v>50</v>
      </c>
      <c r="I5" s="12" t="s">
        <v>4</v>
      </c>
    </row>
    <row r="6" customFormat="false" ht="55.5" hidden="false" customHeight="true" outlineLevel="0" collapsed="false">
      <c r="A6" s="11" t="s">
        <v>51</v>
      </c>
      <c r="B6" s="12" t="s">
        <v>32</v>
      </c>
      <c r="C6" s="12" t="s">
        <v>52</v>
      </c>
      <c r="D6" s="12" t="s">
        <v>53</v>
      </c>
      <c r="E6" s="12" t="s">
        <v>2</v>
      </c>
      <c r="F6" s="12" t="s">
        <v>35</v>
      </c>
      <c r="G6" s="12" t="s">
        <v>54</v>
      </c>
      <c r="H6" s="12" t="s">
        <v>55</v>
      </c>
      <c r="I6" s="12" t="s">
        <v>4</v>
      </c>
    </row>
    <row r="7" customFormat="false" ht="55.5" hidden="false" customHeight="true" outlineLevel="0" collapsed="false">
      <c r="A7" s="11" t="s">
        <v>56</v>
      </c>
      <c r="B7" s="12" t="s">
        <v>57</v>
      </c>
      <c r="C7" s="12" t="s">
        <v>58</v>
      </c>
      <c r="D7" s="12" t="s">
        <v>59</v>
      </c>
      <c r="E7" s="12" t="s">
        <v>2</v>
      </c>
      <c r="F7" s="12" t="s">
        <v>60</v>
      </c>
      <c r="G7" s="12" t="s">
        <v>61</v>
      </c>
      <c r="H7" s="12" t="s">
        <v>62</v>
      </c>
      <c r="I7" s="12" t="s">
        <v>4</v>
      </c>
    </row>
    <row r="8" customFormat="false" ht="55.5" hidden="false" customHeight="true" outlineLevel="0" collapsed="false">
      <c r="A8" s="11" t="s">
        <v>63</v>
      </c>
      <c r="B8" s="12" t="s">
        <v>57</v>
      </c>
      <c r="C8" s="12" t="s">
        <v>64</v>
      </c>
      <c r="D8" s="12" t="s">
        <v>65</v>
      </c>
      <c r="E8" s="12" t="s">
        <v>2</v>
      </c>
      <c r="F8" s="12" t="s">
        <v>66</v>
      </c>
      <c r="G8" s="12" t="s">
        <v>67</v>
      </c>
      <c r="H8" s="12" t="s">
        <v>68</v>
      </c>
      <c r="I8" s="12" t="s">
        <v>4</v>
      </c>
    </row>
    <row r="9" customFormat="false" ht="55.5" hidden="false" customHeight="true" outlineLevel="0" collapsed="false">
      <c r="A9" s="11" t="s">
        <v>69</v>
      </c>
      <c r="B9" s="12" t="s">
        <v>70</v>
      </c>
      <c r="C9" s="12" t="s">
        <v>71</v>
      </c>
      <c r="D9" s="12" t="s">
        <v>72</v>
      </c>
      <c r="E9" s="12" t="s">
        <v>2</v>
      </c>
      <c r="F9" s="12" t="s">
        <v>66</v>
      </c>
      <c r="G9" s="12" t="s">
        <v>73</v>
      </c>
      <c r="H9" s="12" t="s">
        <v>74</v>
      </c>
      <c r="I9" s="12" t="s">
        <v>4</v>
      </c>
    </row>
    <row r="10" customFormat="false" ht="55.5" hidden="false" customHeight="true" outlineLevel="0" collapsed="false">
      <c r="A10" s="13" t="s">
        <v>75</v>
      </c>
      <c r="B10" s="14" t="s">
        <v>70</v>
      </c>
      <c r="C10" s="14" t="s">
        <v>76</v>
      </c>
      <c r="D10" s="14" t="s">
        <v>77</v>
      </c>
      <c r="E10" s="14" t="s">
        <v>3</v>
      </c>
      <c r="F10" s="14" t="s">
        <v>66</v>
      </c>
      <c r="G10" s="14" t="s">
        <v>78</v>
      </c>
      <c r="H10" s="14" t="s">
        <v>79</v>
      </c>
      <c r="I10" s="14" t="s">
        <v>4</v>
      </c>
    </row>
    <row r="11" customFormat="false" ht="55.5" hidden="false" customHeight="true" outlineLevel="0" collapsed="false">
      <c r="A11" s="13" t="s">
        <v>80</v>
      </c>
      <c r="B11" s="14" t="s">
        <v>70</v>
      </c>
      <c r="C11" s="14" t="s">
        <v>81</v>
      </c>
      <c r="D11" s="14" t="s">
        <v>82</v>
      </c>
      <c r="E11" s="14" t="s">
        <v>3</v>
      </c>
      <c r="F11" s="14" t="s">
        <v>66</v>
      </c>
      <c r="G11" s="14" t="s">
        <v>83</v>
      </c>
      <c r="H11" s="14" t="s">
        <v>84</v>
      </c>
      <c r="I11" s="14" t="s">
        <v>4</v>
      </c>
    </row>
    <row r="12" customFormat="false" ht="55.5" hidden="false" customHeight="true" outlineLevel="0" collapsed="false">
      <c r="A12" s="11" t="s">
        <v>85</v>
      </c>
      <c r="B12" s="12" t="s">
        <v>86</v>
      </c>
      <c r="C12" s="12" t="s">
        <v>87</v>
      </c>
      <c r="D12" s="12" t="s">
        <v>88</v>
      </c>
      <c r="E12" s="12" t="s">
        <v>2</v>
      </c>
      <c r="F12" s="12" t="s">
        <v>89</v>
      </c>
      <c r="G12" s="12" t="s">
        <v>90</v>
      </c>
      <c r="H12" s="12" t="s">
        <v>91</v>
      </c>
      <c r="I12" s="12" t="s">
        <v>4</v>
      </c>
    </row>
    <row r="13" customFormat="false" ht="55.5" hidden="false" customHeight="true" outlineLevel="0" collapsed="false">
      <c r="A13" s="11" t="s">
        <v>92</v>
      </c>
      <c r="B13" s="12" t="s">
        <v>86</v>
      </c>
      <c r="C13" s="12" t="s">
        <v>93</v>
      </c>
      <c r="D13" s="12" t="s">
        <v>94</v>
      </c>
      <c r="E13" s="12" t="s">
        <v>2</v>
      </c>
      <c r="F13" s="12" t="s">
        <v>89</v>
      </c>
      <c r="G13" s="12" t="s">
        <v>95</v>
      </c>
      <c r="H13" s="12" t="s">
        <v>96</v>
      </c>
      <c r="I13" s="12" t="s">
        <v>4</v>
      </c>
    </row>
    <row r="14" customFormat="false" ht="55.5" hidden="false" customHeight="true" outlineLevel="0" collapsed="false">
      <c r="A14" s="13" t="s">
        <v>97</v>
      </c>
      <c r="B14" s="14" t="s">
        <v>86</v>
      </c>
      <c r="C14" s="14" t="s">
        <v>98</v>
      </c>
      <c r="D14" s="14" t="s">
        <v>99</v>
      </c>
      <c r="E14" s="14" t="s">
        <v>3</v>
      </c>
      <c r="F14" s="14" t="s">
        <v>89</v>
      </c>
      <c r="G14" s="14" t="s">
        <v>100</v>
      </c>
      <c r="H14" s="14" t="s">
        <v>101</v>
      </c>
      <c r="I14" s="14" t="s">
        <v>4</v>
      </c>
    </row>
    <row r="15" customFormat="false" ht="55.5" hidden="false" customHeight="true" outlineLevel="0" collapsed="false">
      <c r="A15" s="11" t="s">
        <v>102</v>
      </c>
      <c r="B15" s="12" t="s">
        <v>103</v>
      </c>
      <c r="C15" s="12" t="s">
        <v>104</v>
      </c>
      <c r="D15" s="12" t="s">
        <v>105</v>
      </c>
      <c r="E15" s="12" t="s">
        <v>2</v>
      </c>
      <c r="F15" s="12" t="s">
        <v>89</v>
      </c>
      <c r="G15" s="12" t="s">
        <v>106</v>
      </c>
      <c r="H15" s="12" t="s">
        <v>107</v>
      </c>
      <c r="I15" s="12" t="s">
        <v>4</v>
      </c>
    </row>
    <row r="16" customFormat="false" ht="55.5" hidden="false" customHeight="true" outlineLevel="0" collapsed="false">
      <c r="A16" s="11" t="s">
        <v>108</v>
      </c>
      <c r="B16" s="12" t="s">
        <v>109</v>
      </c>
      <c r="C16" s="12" t="s">
        <v>110</v>
      </c>
      <c r="D16" s="12" t="s">
        <v>111</v>
      </c>
      <c r="E16" s="12" t="s">
        <v>2</v>
      </c>
      <c r="F16" s="12" t="s">
        <v>89</v>
      </c>
      <c r="G16" s="12" t="s">
        <v>112</v>
      </c>
      <c r="H16" s="12" t="s">
        <v>113</v>
      </c>
      <c r="I16" s="12" t="s">
        <v>4</v>
      </c>
    </row>
    <row r="17" customFormat="false" ht="55.5" hidden="false" customHeight="true" outlineLevel="0" collapsed="false">
      <c r="A17" s="11" t="s">
        <v>114</v>
      </c>
      <c r="B17" s="12" t="s">
        <v>109</v>
      </c>
      <c r="C17" s="12" t="s">
        <v>115</v>
      </c>
      <c r="D17" s="12" t="s">
        <v>116</v>
      </c>
      <c r="E17" s="12" t="s">
        <v>2</v>
      </c>
      <c r="F17" s="12" t="s">
        <v>89</v>
      </c>
      <c r="G17" s="12" t="s">
        <v>117</v>
      </c>
      <c r="H17" s="12" t="s">
        <v>118</v>
      </c>
      <c r="I17" s="12" t="s">
        <v>4</v>
      </c>
    </row>
    <row r="18" customFormat="false" ht="55.5" hidden="false" customHeight="true" outlineLevel="0" collapsed="false">
      <c r="A18" s="11" t="s">
        <v>119</v>
      </c>
      <c r="B18" s="12" t="s">
        <v>109</v>
      </c>
      <c r="C18" s="12" t="s">
        <v>120</v>
      </c>
      <c r="D18" s="12" t="s">
        <v>121</v>
      </c>
      <c r="E18" s="12" t="s">
        <v>2</v>
      </c>
      <c r="F18" s="12" t="s">
        <v>89</v>
      </c>
      <c r="G18" s="12" t="s">
        <v>122</v>
      </c>
      <c r="H18" s="12" t="s">
        <v>123</v>
      </c>
      <c r="I18" s="12" t="s">
        <v>4</v>
      </c>
    </row>
    <row r="19" customFormat="false" ht="55.5" hidden="false" customHeight="true" outlineLevel="0" collapsed="false">
      <c r="A19" s="13" t="s">
        <v>124</v>
      </c>
      <c r="B19" s="14" t="s">
        <v>109</v>
      </c>
      <c r="C19" s="14" t="s">
        <v>125</v>
      </c>
      <c r="D19" s="14" t="s">
        <v>126</v>
      </c>
      <c r="E19" s="14" t="s">
        <v>3</v>
      </c>
      <c r="F19" s="14" t="s">
        <v>60</v>
      </c>
      <c r="G19" s="14" t="s">
        <v>127</v>
      </c>
      <c r="H19" s="14" t="s">
        <v>128</v>
      </c>
      <c r="I19" s="14" t="s">
        <v>4</v>
      </c>
    </row>
    <row r="20" customFormat="false" ht="55.5" hidden="false" customHeight="true" outlineLevel="0" collapsed="false">
      <c r="A20" s="13" t="s">
        <v>129</v>
      </c>
      <c r="B20" s="14" t="s">
        <v>109</v>
      </c>
      <c r="C20" s="14" t="s">
        <v>130</v>
      </c>
      <c r="D20" s="14" t="s">
        <v>131</v>
      </c>
      <c r="E20" s="14" t="s">
        <v>3</v>
      </c>
      <c r="F20" s="14" t="s">
        <v>132</v>
      </c>
      <c r="G20" s="14" t="s">
        <v>133</v>
      </c>
      <c r="H20" s="14" t="s">
        <v>134</v>
      </c>
      <c r="I20" s="14" t="s">
        <v>4</v>
      </c>
    </row>
    <row r="21" customFormat="false" ht="55.5" hidden="false" customHeight="true" outlineLevel="0" collapsed="false">
      <c r="A21" s="11" t="s">
        <v>135</v>
      </c>
      <c r="B21" s="12" t="s">
        <v>136</v>
      </c>
      <c r="C21" s="12" t="s">
        <v>137</v>
      </c>
      <c r="D21" s="12" t="s">
        <v>138</v>
      </c>
      <c r="E21" s="12" t="s">
        <v>2</v>
      </c>
      <c r="F21" s="12" t="s">
        <v>139</v>
      </c>
      <c r="G21" s="12" t="s">
        <v>140</v>
      </c>
      <c r="H21" s="12" t="s">
        <v>141</v>
      </c>
      <c r="I21" s="12" t="s">
        <v>4</v>
      </c>
    </row>
    <row r="22" customFormat="false" ht="55.5" hidden="false" customHeight="true" outlineLevel="0" collapsed="false">
      <c r="A22" s="11" t="s">
        <v>142</v>
      </c>
      <c r="B22" s="12" t="s">
        <v>136</v>
      </c>
      <c r="C22" s="12" t="s">
        <v>143</v>
      </c>
      <c r="D22" s="12" t="s">
        <v>144</v>
      </c>
      <c r="E22" s="12" t="s">
        <v>2</v>
      </c>
      <c r="F22" s="12" t="s">
        <v>139</v>
      </c>
      <c r="G22" s="12" t="s">
        <v>145</v>
      </c>
      <c r="H22" s="12" t="s">
        <v>146</v>
      </c>
      <c r="I22" s="12" t="s">
        <v>4</v>
      </c>
    </row>
    <row r="23" customFormat="false" ht="55.5" hidden="false" customHeight="true" outlineLevel="0" collapsed="false">
      <c r="A23" s="13" t="s">
        <v>147</v>
      </c>
      <c r="B23" s="14" t="s">
        <v>136</v>
      </c>
      <c r="C23" s="14" t="s">
        <v>148</v>
      </c>
      <c r="D23" s="14" t="s">
        <v>149</v>
      </c>
      <c r="E23" s="14" t="s">
        <v>3</v>
      </c>
      <c r="F23" s="14" t="s">
        <v>139</v>
      </c>
      <c r="G23" s="14" t="s">
        <v>150</v>
      </c>
      <c r="H23" s="14" t="s">
        <v>151</v>
      </c>
      <c r="I23" s="14" t="s">
        <v>4</v>
      </c>
    </row>
    <row r="24" customFormat="false" ht="55.5" hidden="false" customHeight="true" outlineLevel="0" collapsed="false">
      <c r="A24" s="13" t="s">
        <v>152</v>
      </c>
      <c r="B24" s="14" t="s">
        <v>136</v>
      </c>
      <c r="C24" s="14" t="s">
        <v>153</v>
      </c>
      <c r="D24" s="14" t="s">
        <v>154</v>
      </c>
      <c r="E24" s="14" t="s">
        <v>3</v>
      </c>
      <c r="F24" s="14" t="s">
        <v>139</v>
      </c>
      <c r="G24" s="14" t="s">
        <v>155</v>
      </c>
      <c r="H24" s="14" t="s">
        <v>156</v>
      </c>
      <c r="I24" s="14" t="s">
        <v>4</v>
      </c>
    </row>
    <row r="25" customFormat="false" ht="55.5" hidden="false" customHeight="true" outlineLevel="0" collapsed="false">
      <c r="A25" s="13" t="s">
        <v>157</v>
      </c>
      <c r="B25" s="14" t="s">
        <v>158</v>
      </c>
      <c r="C25" s="14" t="s">
        <v>159</v>
      </c>
      <c r="D25" s="14" t="s">
        <v>160</v>
      </c>
      <c r="E25" s="14" t="s">
        <v>3</v>
      </c>
      <c r="F25" s="14" t="s">
        <v>89</v>
      </c>
      <c r="G25" s="14" t="s">
        <v>161</v>
      </c>
      <c r="H25" s="14" t="s">
        <v>162</v>
      </c>
      <c r="I25" s="14" t="s">
        <v>4</v>
      </c>
    </row>
    <row r="26" customFormat="false" ht="55.5" hidden="false" customHeight="true" outlineLevel="0" collapsed="false">
      <c r="A26" s="13" t="s">
        <v>163</v>
      </c>
      <c r="B26" s="14" t="s">
        <v>164</v>
      </c>
      <c r="C26" s="14" t="s">
        <v>165</v>
      </c>
      <c r="D26" s="14" t="s">
        <v>166</v>
      </c>
      <c r="E26" s="14" t="s">
        <v>3</v>
      </c>
      <c r="F26" s="14" t="s">
        <v>66</v>
      </c>
      <c r="G26" s="14" t="s">
        <v>167</v>
      </c>
      <c r="H26" s="14" t="s">
        <v>168</v>
      </c>
      <c r="I26" s="14" t="s">
        <v>4</v>
      </c>
    </row>
    <row r="27" customFormat="false" ht="55.5" hidden="false" customHeight="true" outlineLevel="0" collapsed="false">
      <c r="A27" s="13" t="s">
        <v>169</v>
      </c>
      <c r="B27" s="14" t="s">
        <v>164</v>
      </c>
      <c r="C27" s="14" t="s">
        <v>170</v>
      </c>
      <c r="D27" s="14" t="s">
        <v>171</v>
      </c>
      <c r="E27" s="14" t="s">
        <v>3</v>
      </c>
      <c r="F27" s="14" t="s">
        <v>66</v>
      </c>
      <c r="G27" s="14" t="s">
        <v>172</v>
      </c>
      <c r="H27" s="14" t="s">
        <v>173</v>
      </c>
      <c r="I27" s="14" t="s">
        <v>4</v>
      </c>
    </row>
    <row r="28" customFormat="false" ht="55.5" hidden="false" customHeight="true" outlineLevel="0" collapsed="false">
      <c r="A28" s="13" t="s">
        <v>174</v>
      </c>
      <c r="B28" s="14" t="s">
        <v>164</v>
      </c>
      <c r="C28" s="14" t="s">
        <v>175</v>
      </c>
      <c r="D28" s="14" t="s">
        <v>176</v>
      </c>
      <c r="E28" s="14" t="s">
        <v>3</v>
      </c>
      <c r="F28" s="14" t="s">
        <v>66</v>
      </c>
      <c r="G28" s="14" t="s">
        <v>177</v>
      </c>
      <c r="H28" s="14" t="s">
        <v>178</v>
      </c>
      <c r="I28" s="14" t="s">
        <v>4</v>
      </c>
    </row>
    <row r="29" customFormat="false" ht="55.5" hidden="false" customHeight="true" outlineLevel="0" collapsed="false">
      <c r="A29" s="13" t="s">
        <v>179</v>
      </c>
      <c r="B29" s="14" t="s">
        <v>180</v>
      </c>
      <c r="C29" s="14" t="s">
        <v>181</v>
      </c>
      <c r="D29" s="14" t="s">
        <v>182</v>
      </c>
      <c r="E29" s="14" t="s">
        <v>3</v>
      </c>
      <c r="F29" s="14" t="s">
        <v>132</v>
      </c>
      <c r="G29" s="14" t="s">
        <v>183</v>
      </c>
      <c r="H29" s="14" t="s">
        <v>184</v>
      </c>
      <c r="I29" s="14" t="s">
        <v>4</v>
      </c>
    </row>
    <row r="30" customFormat="false" ht="55.5" hidden="false" customHeight="true" outlineLevel="0" collapsed="false">
      <c r="A30" s="13" t="s">
        <v>185</v>
      </c>
      <c r="B30" s="14" t="s">
        <v>180</v>
      </c>
      <c r="C30" s="14" t="s">
        <v>186</v>
      </c>
      <c r="D30" s="14" t="s">
        <v>187</v>
      </c>
      <c r="E30" s="14" t="s">
        <v>3</v>
      </c>
      <c r="F30" s="14" t="s">
        <v>132</v>
      </c>
      <c r="G30" s="14" t="s">
        <v>188</v>
      </c>
      <c r="H30" s="14" t="s">
        <v>189</v>
      </c>
      <c r="I30" s="14" t="s">
        <v>4</v>
      </c>
    </row>
    <row r="31" customFormat="false" ht="55.5" hidden="false" customHeight="true" outlineLevel="0" collapsed="false">
      <c r="A31" s="11" t="s">
        <v>190</v>
      </c>
      <c r="B31" s="12" t="s">
        <v>191</v>
      </c>
      <c r="C31" s="12" t="s">
        <v>192</v>
      </c>
      <c r="D31" s="12" t="s">
        <v>193</v>
      </c>
      <c r="E31" s="12" t="s">
        <v>2</v>
      </c>
      <c r="F31" s="12" t="s">
        <v>194</v>
      </c>
      <c r="G31" s="12" t="s">
        <v>195</v>
      </c>
      <c r="H31" s="12" t="s">
        <v>196</v>
      </c>
      <c r="I31" s="12" t="s">
        <v>4</v>
      </c>
    </row>
    <row r="32" customFormat="false" ht="55.5" hidden="false" customHeight="true" outlineLevel="0" collapsed="false">
      <c r="A32" s="11" t="s">
        <v>197</v>
      </c>
      <c r="B32" s="12" t="s">
        <v>191</v>
      </c>
      <c r="C32" s="12" t="s">
        <v>198</v>
      </c>
      <c r="D32" s="12" t="s">
        <v>199</v>
      </c>
      <c r="E32" s="12" t="s">
        <v>2</v>
      </c>
      <c r="F32" s="12" t="s">
        <v>194</v>
      </c>
      <c r="G32" s="12" t="s">
        <v>200</v>
      </c>
      <c r="H32" s="12" t="s">
        <v>201</v>
      </c>
      <c r="I32" s="12" t="s">
        <v>4</v>
      </c>
    </row>
    <row r="33" customFormat="false" ht="55.5" hidden="false" customHeight="true" outlineLevel="0" collapsed="false">
      <c r="A33" s="11" t="s">
        <v>202</v>
      </c>
      <c r="B33" s="12" t="s">
        <v>191</v>
      </c>
      <c r="C33" s="12" t="s">
        <v>203</v>
      </c>
      <c r="D33" s="12" t="s">
        <v>204</v>
      </c>
      <c r="E33" s="12" t="s">
        <v>2</v>
      </c>
      <c r="F33" s="12" t="s">
        <v>194</v>
      </c>
      <c r="G33" s="12" t="s">
        <v>205</v>
      </c>
      <c r="H33" s="12" t="s">
        <v>206</v>
      </c>
      <c r="I33" s="12" t="s">
        <v>4</v>
      </c>
    </row>
    <row r="34" customFormat="false" ht="55.5" hidden="false" customHeight="true" outlineLevel="0" collapsed="false">
      <c r="A34" s="13" t="s">
        <v>207</v>
      </c>
      <c r="B34" s="14" t="s">
        <v>208</v>
      </c>
      <c r="C34" s="14" t="s">
        <v>209</v>
      </c>
      <c r="D34" s="14" t="s">
        <v>210</v>
      </c>
      <c r="E34" s="14" t="s">
        <v>3</v>
      </c>
      <c r="F34" s="14" t="s">
        <v>132</v>
      </c>
      <c r="G34" s="14" t="s">
        <v>211</v>
      </c>
      <c r="H34" s="14" t="s">
        <v>212</v>
      </c>
      <c r="I34" s="14" t="s">
        <v>4</v>
      </c>
    </row>
    <row r="35" customFormat="false" ht="55.5" hidden="false" customHeight="true" outlineLevel="0" collapsed="false">
      <c r="A35" s="15" t="s">
        <v>213</v>
      </c>
      <c r="B35" s="16" t="s">
        <v>208</v>
      </c>
      <c r="C35" s="16" t="s">
        <v>214</v>
      </c>
      <c r="D35" s="16" t="s">
        <v>215</v>
      </c>
      <c r="E35" s="16" t="s">
        <v>216</v>
      </c>
      <c r="F35" s="16" t="s">
        <v>132</v>
      </c>
      <c r="G35" s="16" t="s">
        <v>217</v>
      </c>
      <c r="H35" s="16" t="s">
        <v>218</v>
      </c>
      <c r="I35" s="16" t="s">
        <v>4</v>
      </c>
    </row>
    <row r="36" customFormat="false" ht="55.5" hidden="false" customHeight="true" outlineLevel="0" collapsed="false">
      <c r="A36" s="15" t="s">
        <v>219</v>
      </c>
      <c r="B36" s="16" t="s">
        <v>220</v>
      </c>
      <c r="C36" s="16" t="s">
        <v>221</v>
      </c>
      <c r="D36" s="16" t="s">
        <v>222</v>
      </c>
      <c r="E36" s="16" t="s">
        <v>216</v>
      </c>
      <c r="F36" s="16" t="s">
        <v>35</v>
      </c>
      <c r="G36" s="16" t="s">
        <v>223</v>
      </c>
      <c r="H36" s="16" t="s">
        <v>224</v>
      </c>
      <c r="I36" s="16" t="s">
        <v>4</v>
      </c>
    </row>
  </sheetData>
  <autoFilter ref="A1:I36"/>
  <dataValidations count="2">
    <dataValidation allowBlank="false" errorStyle="stop" operator="between" showDropDown="false" showErrorMessage="false" showInputMessage="false" sqref="I2:I36" type="list">
      <formula1>"À faire,En cours,En revue,Fait,Bloqué"</formula1>
      <formula2>0</formula2>
    </dataValidation>
    <dataValidation allowBlank="false" errorStyle="stop" operator="between" showDropDown="false" showErrorMessage="false" showInputMessage="false" sqref="E2:E36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&amp;LSentier — Backlog validation</oddHeader>
    <oddFooter>&amp;RPage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225</v>
      </c>
    </row>
    <row r="4" customFormat="false" ht="15" hidden="false" customHeight="false" outlineLevel="0" collapsed="false">
      <c r="B4" s="9" t="s">
        <v>226</v>
      </c>
      <c r="C4" s="9"/>
      <c r="D4" s="9"/>
      <c r="E4" s="9"/>
    </row>
    <row r="5" customFormat="false" ht="15" hidden="false" customHeight="false" outlineLevel="0" collapsed="false">
      <c r="B5" s="9" t="s">
        <v>227</v>
      </c>
      <c r="C5" s="9"/>
      <c r="D5" s="9"/>
      <c r="E5" s="9"/>
    </row>
    <row r="6" customFormat="false" ht="15" hidden="false" customHeight="false" outlineLevel="0" collapsed="false">
      <c r="B6" s="9" t="s">
        <v>228</v>
      </c>
      <c r="C6" s="9"/>
      <c r="D6" s="9"/>
      <c r="E6" s="9"/>
    </row>
    <row r="7" customFormat="false" ht="15" hidden="false" customHeight="false" outlineLevel="0" collapsed="false">
      <c r="B7" s="9" t="s">
        <v>229</v>
      </c>
      <c r="C7" s="9"/>
      <c r="D7" s="9"/>
      <c r="E7" s="9"/>
    </row>
    <row r="8" customFormat="false" ht="15" hidden="false" customHeight="false" outlineLevel="0" collapsed="false">
      <c r="B8" s="9" t="s">
        <v>230</v>
      </c>
      <c r="C8" s="9"/>
      <c r="D8" s="9"/>
      <c r="E8" s="9"/>
    </row>
    <row r="9" customFormat="false" ht="15" hidden="false" customHeight="false" outlineLevel="0" collapsed="false">
      <c r="B9" s="9" t="s">
        <v>231</v>
      </c>
      <c r="C9" s="9"/>
      <c r="D9" s="9"/>
      <c r="E9" s="9"/>
    </row>
    <row r="10" customFormat="false" ht="15" hidden="false" customHeight="false" outlineLevel="0" collapsed="false">
      <c r="B10" s="9" t="s">
        <v>232</v>
      </c>
      <c r="C10" s="9"/>
      <c r="D10" s="9"/>
      <c r="E10" s="9"/>
    </row>
    <row r="11" customFormat="false" ht="15" hidden="false" customHeight="false" outlineLevel="0" collapsed="false">
      <c r="B11" s="9" t="s">
        <v>233</v>
      </c>
      <c r="C11" s="9"/>
      <c r="D11" s="9"/>
      <c r="E11" s="9"/>
    </row>
    <row r="12" customFormat="false" ht="15" hidden="false" customHeight="false" outlineLevel="0" collapsed="false">
      <c r="B12" s="9" t="s">
        <v>234</v>
      </c>
      <c r="C12" s="9"/>
      <c r="D12" s="9"/>
      <c r="E12" s="9"/>
    </row>
    <row r="13" customFormat="false" ht="15" hidden="false" customHeight="false" outlineLevel="0" collapsed="false">
      <c r="B13" s="9" t="s">
        <v>235</v>
      </c>
      <c r="C13" s="9"/>
      <c r="D13" s="9"/>
      <c r="E13" s="9"/>
    </row>
  </sheetData>
  <mergeCells count="10"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Pipeline validation</oddHeader>
    <oddFooter>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2026-09-03T00:42:43Z</dcterms:created>
  <dc:creator>openpyxl</dc:creator>
  <dc:description/>
  <dc:language>en-US</dc:language>
  <cp:lastModifiedBy/>
  <dcterms:modified xsi:type="dcterms:W3CDTF">2026-09-03T00:42:44Z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