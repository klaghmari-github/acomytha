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cipes" sheetId="1" state="visible" r:id="rId3"/>
    <sheet name="Chiffres" sheetId="2" state="visible" r:id="rId4"/>
    <sheet name="Domaines" sheetId="3" state="visible" r:id="rId5"/>
    <sheet name="Sous-domaines" sheetId="4" state="visible" r:id="rId6"/>
    <sheet name="Leçons" sheetId="5" state="visible" r:id="rId7"/>
    <sheet name="Arbre pilote Parc" sheetId="6" state="visible" r:id="rId8"/>
  </sheets>
  <definedNames>
    <definedName function="false" hidden="false" localSheetId="2" name="_xlnm.Print_Titles" vbProcedure="false">Domaines!$1:$1</definedName>
    <definedName function="false" hidden="true" localSheetId="2" name="_xlnm._FilterDatabase" vbProcedure="false">Domaines!$A$1:$G$14</definedName>
    <definedName function="false" hidden="false" localSheetId="4" name="_xlnm.Print_Titles" vbProcedure="false">Leçons!$1:$1</definedName>
    <definedName function="false" hidden="true" localSheetId="4" name="_xlnm._FilterDatabase" vbProcedure="false">Leçons!$A$1:$J$82</definedName>
    <definedName function="false" hidden="false" localSheetId="3" name="_xlnm.Print_Titles" vbProcedure="false">'Sous-domaines'!$1:$1</definedName>
    <definedName function="false" hidden="true" localSheetId="3" name="_xlnm._FilterDatabase" vbProcedure="false">'Sous-domaines'!$A$1:$E$45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<sst xmlns="http://schemas.openxmlformats.org/spreadsheetml/2006/main" count="1157" uniqueCount="610">
  <si>
    <t xml:space="preserve">Sentier — Taxonomie des leçons</t>
  </si>
  <si>
    <t xml:space="preserve">Hiérarchie à 3 niveaux, identifiants stables, périmètre V1 distinct du catalogue étendu. 3 septembre 2026.</t>
  </si>
  <si>
    <t xml:space="preserve">Forme</t>
  </si>
  <si>
    <t xml:space="preserve">Domaine (3 lettres)  →  Sous-domaine (DOM.XXX)  →  Leçon (DOM.XXX.000)</t>
  </si>
  <si>
    <t xml:space="preserve">L'identifiant ne change plus. On peut renommer le titre français.</t>
  </si>
  <si>
    <t xml:space="preserve">Une leçon = un objectif observable, pas un thème flou. « Les émotions » n'est pas une leçon ; « Être en colère » l'est.</t>
  </si>
  <si>
    <t xml:space="preserve">Règles de découpe</t>
  </si>
  <si>
    <t xml:space="preserve">Un sous-domaine tient dans la tête d'un parent en une phrase.</t>
  </si>
  <si>
    <t xml:space="preserve">Une leçon tient dans une scène de 2 à 4 minutes, réutilisable dans plusieurs arbres.</t>
  </si>
  <si>
    <t xml:space="preserve">On n'empile pas deux leçons critiques dans la même scène (feu + prises). On peut enchaîner dans le même arbre, scènes séparées.</t>
  </si>
  <si>
    <t xml:space="preserve">Les leçons secondaires d'un arbre viennent de domaines compatibles (parc → rue + partage + moquerie).</t>
  </si>
  <si>
    <t xml:space="preserve">Ce qui n'entre pas dans la taxonomie</t>
  </si>
  <si>
    <t xml:space="preserve">Religion, politique, guerre, crime, tuerie, discours de genre, configurations familiales hors papa-maman-enfants.</t>
  </si>
  <si>
    <t xml:space="preserve">Diagnostics médicaux nommés (TDAH, etc.) sauf relecture spécialisée — on décrit le besoin, pas l'étiquette.</t>
  </si>
  <si>
    <t xml:space="preserve">Leçons qui plantent un geste dangereux pour l'interdire.</t>
  </si>
  <si>
    <t xml:space="preserve">Vague de publication</t>
  </si>
  <si>
    <t xml:space="preserve">V1-pilote : les 12 leçons de l'arbre « sortie au parc » + fiches indispensables à la chaîne.</t>
  </si>
  <si>
    <t xml:space="preserve">V1 : catalogue du premier produit (environ 30–40 leçons).</t>
  </si>
  <si>
    <t xml:space="preserve">V1.1 : même domaines, leçons supplémentaires après les premiers tests familles.</t>
  </si>
  <si>
    <t xml:space="preserve">Plus tard : hors MVP (pays, sons fins, etc.).</t>
  </si>
  <si>
    <t xml:space="preserve">Volume de la taxonomie</t>
  </si>
  <si>
    <t xml:space="preserve">Leçons au catalogue</t>
  </si>
  <si>
    <t xml:space="preserve">V1-pilote</t>
  </si>
  <si>
    <t xml:space="preserve">V1</t>
  </si>
  <si>
    <t xml:space="preserve">V1.1</t>
  </si>
  <si>
    <t xml:space="preserve">Plus tard</t>
  </si>
  <si>
    <t xml:space="preserve">Framing critique (positive_only)</t>
  </si>
  <si>
    <t xml:space="preserve">Framing émotion</t>
  </si>
  <si>
    <t xml:space="preserve">Framing respect</t>
  </si>
  <si>
    <t xml:space="preserve">Framing standard</t>
  </si>
  <si>
    <t xml:space="preserve">ID</t>
  </si>
  <si>
    <t xml:space="preserve">Domaine</t>
  </si>
  <si>
    <t xml:space="preserve">Intention pour l'enfant</t>
  </si>
  <si>
    <t xml:space="preserve">Sous-domaines</t>
  </si>
  <si>
    <t xml:space="preserve">Nb leçons</t>
  </si>
  <si>
    <t xml:space="preserve">Nb V1-pilote</t>
  </si>
  <si>
    <t xml:space="preserve">Compatibilité typique d'arbre</t>
  </si>
  <si>
    <t xml:space="preserve">SAN</t>
  </si>
  <si>
    <t xml:space="preserve">Santé et quotidien</t>
  </si>
  <si>
    <t xml:space="preserve">Prendre soin de son corps au jour le jour.</t>
  </si>
  <si>
    <t xml:space="preserve">Alimentation, hygiène, sommeil, bouger, écrans</t>
  </si>
  <si>
    <t xml:space="preserve">Maison, repas, soir</t>
  </si>
  <si>
    <t xml:space="preserve">SEC</t>
  </si>
  <si>
    <t xml:space="preserve">Sécurité</t>
  </si>
  <si>
    <t xml:space="preserve">Savoir où mettre son corps et qui appeler.</t>
  </si>
  <si>
    <t xml:space="preserve">Rue, maison, parc, aller vers un adulte</t>
  </si>
  <si>
    <t xml:space="preserve">Rue, maison, magasin, parc</t>
  </si>
  <si>
    <t xml:space="preserve">EMO</t>
  </si>
  <si>
    <t xml:space="preserve">Émotions</t>
  </si>
  <si>
    <t xml:space="preserve">Nommer ce qui se passe dedans et choisir un geste sûr.</t>
  </si>
  <si>
    <t xml:space="preserve">Lexique, geste sûr</t>
  </si>
  <si>
    <t xml:space="preserve">Partout ; souvent après un petit problème</t>
  </si>
  <si>
    <t xml:space="preserve">REL</t>
  </si>
  <si>
    <t xml:space="preserve">Relations</t>
  </si>
  <si>
    <t xml:space="preserve">Vivre avec les autres enfants sans se faire mal.</t>
  </si>
  <si>
    <t xml:space="preserve">Partage, conflit, amitié, moqueries</t>
  </si>
  <si>
    <t xml:space="preserve">Parc, école, maison avec fratrie</t>
  </si>
  <si>
    <t xml:space="preserve">DIF</t>
  </si>
  <si>
    <t xml:space="preserve">Différences du quotidien</t>
  </si>
  <si>
    <t xml:space="preserve">Ne pas se moquer. Jouer avec un camarade différent.</t>
  </si>
  <si>
    <t xml:space="preserve">Corps, parole, énergie, besoins concrets</t>
  </si>
  <si>
    <t xml:space="preserve">Parc, école, goûter d'anniversaire</t>
  </si>
  <si>
    <t xml:space="preserve">AUT</t>
  </si>
  <si>
    <t xml:space="preserve">Autonomie</t>
  </si>
  <si>
    <t xml:space="preserve">S'occuper de ses affaires, un peu tout seul.</t>
  </si>
  <si>
    <t xml:space="preserve">Affaires, rangement, routines</t>
  </si>
  <si>
    <t xml:space="preserve">Départ, retour, chambre</t>
  </si>
  <si>
    <t xml:space="preserve">FAM</t>
  </si>
  <si>
    <t xml:space="preserve">Famille et confiance</t>
  </si>
  <si>
    <t xml:space="preserve">Parler à papa et maman, surtout quand c'est difficile.</t>
  </si>
  <si>
    <t xml:space="preserve">Vérité, surprise/secret, aide</t>
  </si>
  <si>
    <t xml:space="preserve">Maison, après l'école</t>
  </si>
  <si>
    <t xml:space="preserve">COL</t>
  </si>
  <si>
    <t xml:space="preserve">Vie collective</t>
  </si>
  <si>
    <t xml:space="preserve">Les petits mots et les règles de la classe.</t>
  </si>
  <si>
    <t xml:space="preserve">Politesse, école</t>
  </si>
  <si>
    <t xml:space="preserve">École, cantine, visite</t>
  </si>
  <si>
    <t xml:space="preserve">VIV</t>
  </si>
  <si>
    <t xml:space="preserve">Monde vivant</t>
  </si>
  <si>
    <t xml:space="preserve">Nommer les animaux, leurs petits, en prendre soin.</t>
  </si>
  <si>
    <t xml:space="preserve">Animaux, plantes</t>
  </si>
  <si>
    <t xml:space="preserve">Ferme, jardin, livre raconté</t>
  </si>
  <si>
    <t xml:space="preserve">TMP</t>
  </si>
  <si>
    <t xml:space="preserve">Temps et nature</t>
  </si>
  <si>
    <t xml:space="preserve">Se situer dans le jour, la semaine, l'année.</t>
  </si>
  <si>
    <t xml:space="preserve">Jour/nuit, semaine, mois, saisons, météo</t>
  </si>
  <si>
    <t xml:space="preserve">Matin/soir, fenêtre, manteau</t>
  </si>
  <si>
    <t xml:space="preserve">SOC</t>
  </si>
  <si>
    <t xml:space="preserve">Vie concrète</t>
  </si>
  <si>
    <t xml:space="preserve">Comprendre le monde utile : métiers, argent, transports.</t>
  </si>
  <si>
    <t xml:space="preserve">Transports, métiers, argent, cuisine, lieux</t>
  </si>
  <si>
    <t xml:space="preserve">Marché, gare, cuisine</t>
  </si>
  <si>
    <t xml:space="preserve">JEU</t>
  </si>
  <si>
    <t xml:space="preserve">Jeux et sport</t>
  </si>
  <si>
    <t xml:space="preserve">Jouer ensemble et accepter le résultat.</t>
  </si>
  <si>
    <t xml:space="preserve">Ballon, règles</t>
  </si>
  <si>
    <t xml:space="preserve">Parc, récréation</t>
  </si>
  <si>
    <t xml:space="preserve">LAN</t>
  </si>
  <si>
    <t xml:space="preserve">Langage et logique</t>
  </si>
  <si>
    <t xml:space="preserve">Nommer, compter, classer dans l'histoire.</t>
  </si>
  <si>
    <t xml:space="preserve">Mots, nombres, sons</t>
  </si>
  <si>
    <t xml:space="preserve">Cuisine, rangement, trajet</t>
  </si>
  <si>
    <t xml:space="preserve">ID sous-domaine</t>
  </si>
  <si>
    <t xml:space="preserve">Sous-domaine</t>
  </si>
  <si>
    <t xml:space="preserve">Rôle</t>
  </si>
  <si>
    <t xml:space="preserve">SAN.ALI</t>
  </si>
  <si>
    <t xml:space="preserve">Alimentation</t>
  </si>
  <si>
    <t xml:space="preserve">Ce qu'on met dans l'assiette, sans culpabiliser.</t>
  </si>
  <si>
    <t xml:space="preserve">SAN.HYG</t>
  </si>
  <si>
    <t xml:space="preserve">Hygiène</t>
  </si>
  <si>
    <t xml:space="preserve">Gestes du corps propres, répétés.</t>
  </si>
  <si>
    <t xml:space="preserve">SAN.SOM</t>
  </si>
  <si>
    <t xml:space="preserve">Sommeil</t>
  </si>
  <si>
    <t xml:space="preserve">Le soir existe. On s'y prépare.</t>
  </si>
  <si>
    <t xml:space="preserve">SAN.MOV</t>
  </si>
  <si>
    <t xml:space="preserve">Bouger</t>
  </si>
  <si>
    <t xml:space="preserve">Le corps a besoin de bouger.</t>
  </si>
  <si>
    <t xml:space="preserve">SAN.ECR</t>
  </si>
  <si>
    <t xml:space="preserve">Écrans</t>
  </si>
  <si>
    <t xml:space="preserve">L'écran s'arrête. Un autre jeu commence.</t>
  </si>
  <si>
    <t xml:space="preserve">SEC.RUE</t>
  </si>
  <si>
    <t xml:space="preserve">Rue et trajet</t>
  </si>
  <si>
    <t xml:space="preserve">Pieds sur le trottoir, main dans la main, feu vert.</t>
  </si>
  <si>
    <t xml:space="preserve">SEC.MAI</t>
  </si>
  <si>
    <t xml:space="preserve">Maison</t>
  </si>
  <si>
    <t xml:space="preserve">Objets et lieux de la maison réservés aux adultes.</t>
  </si>
  <si>
    <t xml:space="preserve">SEC.PAR</t>
  </si>
  <si>
    <t xml:space="preserve">Parc et dehors</t>
  </si>
  <si>
    <t xml:space="preserve">Jouer là où l'adulte voit.</t>
  </si>
  <si>
    <t xml:space="preserve">SEC.ADU</t>
  </si>
  <si>
    <t xml:space="preserve">Aller vers un adulte</t>
  </si>
  <si>
    <t xml:space="preserve">La personne ressource a un nom : papa, maman, maîtresse.</t>
  </si>
  <si>
    <t xml:space="preserve">EMO.LEX</t>
  </si>
  <si>
    <t xml:space="preserve">Nommer l'émotion</t>
  </si>
  <si>
    <t xml:space="preserve">Un mot d'émotion = une leçon.</t>
  </si>
  <si>
    <t xml:space="preserve">EMO.GES</t>
  </si>
  <si>
    <t xml:space="preserve">Geste sûr</t>
  </si>
  <si>
    <t xml:space="preserve">Quoi faire du corps quand l'émotion est grande.</t>
  </si>
  <si>
    <t xml:space="preserve">REL.PAR</t>
  </si>
  <si>
    <t xml:space="preserve">Partage et tour</t>
  </si>
  <si>
    <t xml:space="preserve">Le jouet et le tour.</t>
  </si>
  <si>
    <t xml:space="preserve">REL.CON</t>
  </si>
  <si>
    <t xml:space="preserve">Conflit</t>
  </si>
  <si>
    <t xml:space="preserve">Stop, distance, adulte — puis éventuellement réparer.</t>
  </si>
  <si>
    <t xml:space="preserve">REL.AMI</t>
  </si>
  <si>
    <t xml:space="preserve">Amitié</t>
  </si>
  <si>
    <t xml:space="preserve">Inviter. Accepter un non.</t>
  </si>
  <si>
    <t xml:space="preserve">REL.MOQ</t>
  </si>
  <si>
    <t xml:space="preserve">Moqueries</t>
  </si>
  <si>
    <t xml:space="preserve">Ne pas participer, soutenir, raconter.</t>
  </si>
  <si>
    <t xml:space="preserve">DIF.COR</t>
  </si>
  <si>
    <t xml:space="preserve">Corps</t>
  </si>
  <si>
    <t xml:space="preserve">Taille, poids, apparence : pas un sujet de blague.</t>
  </si>
  <si>
    <t xml:space="preserve">DIF.PAR</t>
  </si>
  <si>
    <t xml:space="preserve">Parole et timidité</t>
  </si>
  <si>
    <t xml:space="preserve">Le temps de parler appartient à l'enfant.</t>
  </si>
  <si>
    <t xml:space="preserve">DIF.ENE</t>
  </si>
  <si>
    <t xml:space="preserve">Énergie</t>
  </si>
  <si>
    <t xml:space="preserve">Beaucoup d'énergie n'est pas une faute.</t>
  </si>
  <si>
    <t xml:space="preserve">DIF.BES</t>
  </si>
  <si>
    <t xml:space="preserve">Besoins concrets</t>
  </si>
  <si>
    <t xml:space="preserve">Plus de temps, plus de calme : on s'adapte un peu.</t>
  </si>
  <si>
    <t xml:space="preserve">AUT.AFF</t>
  </si>
  <si>
    <t xml:space="preserve">Affaires</t>
  </si>
  <si>
    <t xml:space="preserve">Le sac, le manteau, les jouets ont une place.</t>
  </si>
  <si>
    <t xml:space="preserve">AUT.RAN</t>
  </si>
  <si>
    <t xml:space="preserve">Rangement</t>
  </si>
  <si>
    <t xml:space="preserve">Après le jeu, on range.</t>
  </si>
  <si>
    <t xml:space="preserve">AUT.ROU</t>
  </si>
  <si>
    <t xml:space="preserve">Routines</t>
  </si>
  <si>
    <t xml:space="preserve">Les enchaînements du matin et du soir.</t>
  </si>
  <si>
    <t xml:space="preserve">FAM.VER</t>
  </si>
  <si>
    <t xml:space="preserve">Vérité</t>
  </si>
  <si>
    <t xml:space="preserve">Les bêtises se disent à la maison.</t>
  </si>
  <si>
    <t xml:space="preserve">FAM.SEC</t>
  </si>
  <si>
    <t xml:space="preserve">Surprise et secret</t>
  </si>
  <si>
    <t xml:space="preserve">Surprise joyeuse ≠ malaise à cacher.</t>
  </si>
  <si>
    <t xml:space="preserve">FAM.AID</t>
  </si>
  <si>
    <t xml:space="preserve">Demander de l'aide</t>
  </si>
  <si>
    <t xml:space="preserve">Demander est une compétence.</t>
  </si>
  <si>
    <t xml:space="preserve">COL.POL</t>
  </si>
  <si>
    <t xml:space="preserve">Politesse</t>
  </si>
  <si>
    <t xml:space="preserve">Bonjour, s'il te plaît, merci.</t>
  </si>
  <si>
    <t xml:space="preserve">COL.ECO</t>
  </si>
  <si>
    <t xml:space="preserve">École</t>
  </si>
  <si>
    <t xml:space="preserve">La classe a un adulte et des tours de parole.</t>
  </si>
  <si>
    <t xml:space="preserve">VIV.ANI</t>
  </si>
  <si>
    <t xml:space="preserve">Animaux</t>
  </si>
  <si>
    <t xml:space="preserve">Noms, cris, familles d'animaux.</t>
  </si>
  <si>
    <t xml:space="preserve">VIV.PLA</t>
  </si>
  <si>
    <t xml:space="preserve">Plantes</t>
  </si>
  <si>
    <t xml:space="preserve">Une plante a besoin d'eau et de lumière.</t>
  </si>
  <si>
    <t xml:space="preserve">TMP.JOU</t>
  </si>
  <si>
    <t xml:space="preserve">Jour et nuit</t>
  </si>
  <si>
    <t xml:space="preserve">Soleil / lune, jour / nuit.</t>
  </si>
  <si>
    <t xml:space="preserve">TMP.SEM</t>
  </si>
  <si>
    <t xml:space="preserve">Semaine</t>
  </si>
  <si>
    <t xml:space="preserve">Sept jours, mercredi, week-end.</t>
  </si>
  <si>
    <t xml:space="preserve">TMP.MOI</t>
  </si>
  <si>
    <t xml:space="preserve">Mois et année</t>
  </si>
  <si>
    <t xml:space="preserve">Douze mois, un anniversaire.</t>
  </si>
  <si>
    <t xml:space="preserve">TMP.SAI</t>
  </si>
  <si>
    <t xml:space="preserve">Saisons</t>
  </si>
  <si>
    <t xml:space="preserve">Quatre saisons, un signe chacune.</t>
  </si>
  <si>
    <t xml:space="preserve">TMP.MET</t>
  </si>
  <si>
    <t xml:space="preserve">Météo</t>
  </si>
  <si>
    <t xml:space="preserve">Le temps qu'il fait change le manteau.</t>
  </si>
  <si>
    <t xml:space="preserve">SOC.TRA</t>
  </si>
  <si>
    <t xml:space="preserve">Transports</t>
  </si>
  <si>
    <t xml:space="preserve">Train, avion, bateau, voiture — avec un adulte.</t>
  </si>
  <si>
    <t xml:space="preserve">SOC.MET</t>
  </si>
  <si>
    <t xml:space="preserve">Métiers</t>
  </si>
  <si>
    <t xml:space="preserve">Des adultes font un travail utile.</t>
  </si>
  <si>
    <t xml:space="preserve">SOC.ARG</t>
  </si>
  <si>
    <t xml:space="preserve">Argent</t>
  </si>
  <si>
    <t xml:space="preserve">L'argent sert à acheter. Il vient du travail.</t>
  </si>
  <si>
    <t xml:space="preserve">SOC.CUI</t>
  </si>
  <si>
    <t xml:space="preserve">Cuisine et repas</t>
  </si>
  <si>
    <t xml:space="preserve">Aider en cuisine, tâches sûres.</t>
  </si>
  <si>
    <t xml:space="preserve">SOC.PAY</t>
  </si>
  <si>
    <t xml:space="preserve">Lieux</t>
  </si>
  <si>
    <t xml:space="preserve">Un nom de pays, un paysage. Pas de politique.</t>
  </si>
  <si>
    <t xml:space="preserve">JEU.BAL</t>
  </si>
  <si>
    <t xml:space="preserve">Jeux collectifs</t>
  </si>
  <si>
    <t xml:space="preserve">Un ballon, plusieurs enfants.</t>
  </si>
  <si>
    <t xml:space="preserve">JEU.REG</t>
  </si>
  <si>
    <t xml:space="preserve">Règles du jeu</t>
  </si>
  <si>
    <t xml:space="preserve">Une règle, une défaite possible.</t>
  </si>
  <si>
    <t xml:space="preserve">LAN.MOT</t>
  </si>
  <si>
    <t xml:space="preserve">Mots</t>
  </si>
  <si>
    <t xml:space="preserve">Classer des mots concrets.</t>
  </si>
  <si>
    <t xml:space="preserve">LAN.NOM</t>
  </si>
  <si>
    <t xml:space="preserve">Nombres</t>
  </si>
  <si>
    <t xml:space="preserve">Compter ce qu'on peut toucher dans le récit.</t>
  </si>
  <si>
    <t xml:space="preserve">LAN.SON</t>
  </si>
  <si>
    <t xml:space="preserve">Sons</t>
  </si>
  <si>
    <t xml:space="preserve">Reconnaître un bruit du quotidien.</t>
  </si>
  <si>
    <t xml:space="preserve">Domaine ID</t>
  </si>
  <si>
    <t xml:space="preserve">Sous-domaine ID</t>
  </si>
  <si>
    <t xml:space="preserve">Leçon ID</t>
  </si>
  <si>
    <t xml:space="preserve">Titre</t>
  </si>
  <si>
    <t xml:space="preserve">Objectif observable</t>
  </si>
  <si>
    <t xml:space="preserve">Framing</t>
  </si>
  <si>
    <t xml:space="preserve">Vague</t>
  </si>
  <si>
    <t xml:space="preserve">Branche Git fiche</t>
  </si>
  <si>
    <t xml:space="preserve">SAN.ALI.001</t>
  </si>
  <si>
    <t xml:space="preserve">Goûter un légume</t>
  </si>
  <si>
    <t xml:space="preserve">Goûter une petite portion, nommer le goût, sans humiliation ni chantage.</t>
  </si>
  <si>
    <t xml:space="preserve">standard</t>
  </si>
  <si>
    <t xml:space="preserve">feat/F-TAX-002-san-ali-001</t>
  </si>
  <si>
    <t xml:space="preserve">SAN.ALI.002</t>
  </si>
  <si>
    <t xml:space="preserve">S'asseoir pour manger</t>
  </si>
  <si>
    <t xml:space="preserve">On mange assis, à table, avec les autres de la famille.</t>
  </si>
  <si>
    <t xml:space="preserve">feat/F-TAX-002-san-ali-002</t>
  </si>
  <si>
    <t xml:space="preserve">SAN.ALI.003</t>
  </si>
  <si>
    <t xml:space="preserve">Boire de l'eau</t>
  </si>
  <si>
    <t xml:space="preserve">Quand on a soif, on boit de l'eau. L'eau est à sa place, dans le verre.</t>
  </si>
  <si>
    <t xml:space="preserve">feat/F-TAX-002-san-ali-003</t>
  </si>
  <si>
    <t xml:space="preserve">SAN.HYG.001</t>
  </si>
  <si>
    <t xml:space="preserve">Se laver les mains</t>
  </si>
  <si>
    <t xml:space="preserve">Avant de manger et après les toilettes, on se lave les mains avec le savon.</t>
  </si>
  <si>
    <t xml:space="preserve">feat/F-TAX-002-san-hyg-001</t>
  </si>
  <si>
    <t xml:space="preserve">SAN.HYG.002</t>
  </si>
  <si>
    <t xml:space="preserve">Se brosser les dents</t>
  </si>
  <si>
    <t xml:space="preserve">Le matin et le soir, on brosse les dents avec papa ou maman.</t>
  </si>
  <si>
    <t xml:space="preserve">feat/F-TAX-002-san-hyg-002</t>
  </si>
  <si>
    <t xml:space="preserve">SAN.HYG.003</t>
  </si>
  <si>
    <t xml:space="preserve">Se moucher / se couvrir</t>
  </si>
  <si>
    <t xml:space="preserve">On se mouche dans un mouchoir. On le jette à la poubelle.</t>
  </si>
  <si>
    <t xml:space="preserve">feat/F-TAX-002-san-hyg-003</t>
  </si>
  <si>
    <t xml:space="preserve">SAN.SOM.001</t>
  </si>
  <si>
    <t xml:space="preserve">Aller se coucher</t>
  </si>
  <si>
    <t xml:space="preserve">Le soir on se prépare : pyjama, histoire, dodo. Le corps a besoin de dormir.</t>
  </si>
  <si>
    <t xml:space="preserve">feat/F-TAX-002-san-som-001</t>
  </si>
  <si>
    <t xml:space="preserve">SAN.MOV.001</t>
  </si>
  <si>
    <t xml:space="preserve">Jouer dehors un moment</t>
  </si>
  <si>
    <t xml:space="preserve">Le corps aime bouger au parc ou dans le jardin, avec un adulte.</t>
  </si>
  <si>
    <t xml:space="preserve">feat/F-TAX-002-san-mov-001</t>
  </si>
  <si>
    <t xml:space="preserve">SAN.ECR.001</t>
  </si>
  <si>
    <t xml:space="preserve">Arrêter l'écran quand on dit stop</t>
  </si>
  <si>
    <t xml:space="preserve">Quand papa ou maman dit que c'est fini, on éteint et on choisit un autre jeu.</t>
  </si>
  <si>
    <t xml:space="preserve">feat/F-TAX-002-san-ecr-001</t>
  </si>
  <si>
    <t xml:space="preserve">SEC.RUE.001</t>
  </si>
  <si>
    <t xml:space="preserve">S'arrêter au bord du trottoir</t>
  </si>
  <si>
    <t xml:space="preserve">On s'arrête avant la chaussée. Les pieds restent sur le trottoir.</t>
  </si>
  <si>
    <t xml:space="preserve">positive_only_critical</t>
  </si>
  <si>
    <t xml:space="preserve">feat/F-TAX-002-sec-rue-001</t>
  </si>
  <si>
    <t xml:space="preserve">SEC.RUE.002</t>
  </si>
  <si>
    <t xml:space="preserve">Attendre le feu vert avec l'adulte</t>
  </si>
  <si>
    <t xml:space="preserve">On attend le feu vert piéton. On donne la main. On traverse avec l'adulte.</t>
  </si>
  <si>
    <t xml:space="preserve">feat/F-TAX-002-sec-rue-002</t>
  </si>
  <si>
    <t xml:space="preserve">SEC.RUE.003</t>
  </si>
  <si>
    <t xml:space="preserve">Rester près de l'adulte dans la rue</t>
  </si>
  <si>
    <t xml:space="preserve">Dans la rue, on marche près de papa ou maman. On tient la main ou le manteau.</t>
  </si>
  <si>
    <t xml:space="preserve">feat/F-TAX-002-sec-rue-003</t>
  </si>
  <si>
    <t xml:space="preserve">SEC.MAI.001</t>
  </si>
  <si>
    <t xml:space="preserve">Les prises sont pour les adultes</t>
  </si>
  <si>
    <t xml:space="preserve">Pour la lumière ou une prise, on appelle un adulte. Les mains restent avec les jouets et les couverts.</t>
  </si>
  <si>
    <t xml:space="preserve">feat/F-TAX-002-sec-mai-001</t>
  </si>
  <si>
    <t xml:space="preserve">SEC.MAI.002</t>
  </si>
  <si>
    <t xml:space="preserve">Demander avant de goûter quelque chose d'inconnu</t>
  </si>
  <si>
    <t xml:space="preserve">Avant de toucher ou goûter quelque chose qu'on ne connaît pas, on demande à papa ou maman.</t>
  </si>
  <si>
    <t xml:space="preserve">feat/F-TAX-002-sec-mai-002</t>
  </si>
  <si>
    <t xml:space="preserve">SEC.MAI.003</t>
  </si>
  <si>
    <t xml:space="preserve">Sur le balcon, les pieds au sol avec un adulte</t>
  </si>
  <si>
    <t xml:space="preserve">On reste derrière la protection, pieds au sol, avec un adulte. Le balcon n'est pas un lieu de jeu.</t>
  </si>
  <si>
    <t xml:space="preserve">feat/F-TAX-002-sec-mai-003</t>
  </si>
  <si>
    <t xml:space="preserve">SEC.PAR.001</t>
  </si>
  <si>
    <t xml:space="preserve">Jouer là où l'adulte peut voir</t>
  </si>
  <si>
    <t xml:space="preserve">Au parc, on joue dans l'espace que papa ou maman a montré.</t>
  </si>
  <si>
    <t xml:space="preserve">feat/F-TAX-002-sec-par-001</t>
  </si>
  <si>
    <t xml:space="preserve">SEC.ADU.001</t>
  </si>
  <si>
    <t xml:space="preserve">Chercher papa, maman ou la maîtresse</t>
  </si>
  <si>
    <t xml:space="preserve">Si on a peur, si on est perdu dans le magasin, on va vers papa, maman, ou la maîtresse.</t>
  </si>
  <si>
    <t xml:space="preserve">feat/F-TAX-002-sec-adu-001</t>
  </si>
  <si>
    <t xml:space="preserve">SEC.ADU.002</t>
  </si>
  <si>
    <t xml:space="preserve">Rester avec l'adulte connu</t>
  </si>
  <si>
    <t xml:space="preserve">On reste avec la personne de la famille ou de l'école qui nous accompagne.</t>
  </si>
  <si>
    <t xml:space="preserve">feat/F-TAX-002-sec-adu-002</t>
  </si>
  <si>
    <t xml:space="preserve">EMO.LEX.001</t>
  </si>
  <si>
    <t xml:space="preserve">Être content</t>
  </si>
  <si>
    <t xml:space="preserve">Reconnaître la joie, la nommer, la partager sans écraser l'autre.</t>
  </si>
  <si>
    <t xml:space="preserve">emotional</t>
  </si>
  <si>
    <t xml:space="preserve">feat/F-TAX-002-emo-lex-001</t>
  </si>
  <si>
    <t xml:space="preserve">EMO.LEX.002</t>
  </si>
  <si>
    <t xml:space="preserve">Être triste</t>
  </si>
  <si>
    <t xml:space="preserve">Pleurer est permis. On peut le dire et demander un câlin à papa ou maman.</t>
  </si>
  <si>
    <t xml:space="preserve">feat/F-TAX-002-emo-lex-002</t>
  </si>
  <si>
    <t xml:space="preserve">EMO.LEX.003</t>
  </si>
  <si>
    <t xml:space="preserve">Être déçu</t>
  </si>
  <si>
    <t xml:space="preserve">Un souhait peut attendre. On nomme la déception et on cherche une autre idée.</t>
  </si>
  <si>
    <t xml:space="preserve">feat/F-TAX-002-emo-lex-003</t>
  </si>
  <si>
    <t xml:space="preserve">EMO.LEX.004</t>
  </si>
  <si>
    <t xml:space="preserve">Être surpris</t>
  </si>
  <si>
    <t xml:space="preserve">Quelque chose arrive d'un coup. On respire et on comprend avant d'agir.</t>
  </si>
  <si>
    <t xml:space="preserve">feat/F-TAX-002-emo-lex-004</t>
  </si>
  <si>
    <t xml:space="preserve">EMO.LEX.005</t>
  </si>
  <si>
    <t xml:space="preserve">Être en colère</t>
  </si>
  <si>
    <t xml:space="preserve">On nomme la colère. Les mains restent loin de l'autre. On s'éloigne, on souffle, on va vers un adulte.</t>
  </si>
  <si>
    <t xml:space="preserve">feat/F-TAX-002-emo-lex-005</t>
  </si>
  <si>
    <t xml:space="preserve">EMO.LEX.006</t>
  </si>
  <si>
    <t xml:space="preserve">Avoir un peu peur / être inquiet</t>
  </si>
  <si>
    <t xml:space="preserve">Le ventre est serré. On rejoint un adulte de la famille ou de l'école et on raconte.</t>
  </si>
  <si>
    <t xml:space="preserve">feat/F-TAX-002-emo-lex-006</t>
  </si>
  <si>
    <t xml:space="preserve">EMO.LEX.007</t>
  </si>
  <si>
    <t xml:space="preserve">Être nerveux</t>
  </si>
  <si>
    <t xml:space="preserve">Le corps a du mal à tenir en place. On peut demander une pause.</t>
  </si>
  <si>
    <t xml:space="preserve">feat/F-TAX-002-emo-lex-007</t>
  </si>
  <si>
    <t xml:space="preserve">EMO.LEX.008</t>
  </si>
  <si>
    <t xml:space="preserve">Être gêné</t>
  </si>
  <si>
    <t xml:space="preserve">Une erreur ne définit pas l'enfant. On peut le dire et réparer.</t>
  </si>
  <si>
    <t xml:space="preserve">feat/F-TAX-002-emo-lex-008</t>
  </si>
  <si>
    <t xml:space="preserve">EMO.LEX.009</t>
  </si>
  <si>
    <t xml:space="preserve">Être jaloux</t>
  </si>
  <si>
    <t xml:space="preserve">On nomme l'envie. On demande un tour. On ne prend pas de force.</t>
  </si>
  <si>
    <t xml:space="preserve">feat/F-TAX-002-emo-lex-009</t>
  </si>
  <si>
    <t xml:space="preserve">EMO.LEX.010</t>
  </si>
  <si>
    <t xml:space="preserve">Être fier</t>
  </si>
  <si>
    <t xml:space="preserve">On est content d'un effort, sans rabaisser l'autre.</t>
  </si>
  <si>
    <t xml:space="preserve">feat/F-TAX-002-emo-lex-010</t>
  </si>
  <si>
    <t xml:space="preserve">EMO.GES.001</t>
  </si>
  <si>
    <t xml:space="preserve">Dire stop et s'éloigner</t>
  </si>
  <si>
    <t xml:space="preserve">Quand c'est trop, on dit stop, on s'éloigne, on va vers un adulte.</t>
  </si>
  <si>
    <t xml:space="preserve">feat/F-TAX-002-emo-ges-001</t>
  </si>
  <si>
    <t xml:space="preserve">EMO.GES.002</t>
  </si>
  <si>
    <t xml:space="preserve">Respirer et faire une pause</t>
  </si>
  <si>
    <t xml:space="preserve">On souffle doucement, on s'assoit un moment, puis on reprend.</t>
  </si>
  <si>
    <t xml:space="preserve">feat/F-TAX-002-emo-ges-002</t>
  </si>
  <si>
    <t xml:space="preserve">REL.PAR.001</t>
  </si>
  <si>
    <t xml:space="preserve">Partager un jouet</t>
  </si>
  <si>
    <t xml:space="preserve">On peut prêter, attendre son tour, ou proposer un autre jeu.</t>
  </si>
  <si>
    <t xml:space="preserve">feat/F-TAX-002-rel-par-001</t>
  </si>
  <si>
    <t xml:space="preserve">REL.PAR.002</t>
  </si>
  <si>
    <t xml:space="preserve">Attendre son tour</t>
  </si>
  <si>
    <t xml:space="preserve">On attend que l'autre finisse, puis c'est notre tour.</t>
  </si>
  <si>
    <t xml:space="preserve">feat/F-TAX-002-rel-par-002</t>
  </si>
  <si>
    <t xml:space="preserve">REL.CON.001</t>
  </si>
  <si>
    <t xml:space="preserve">Un camarade frappe</t>
  </si>
  <si>
    <t xml:space="preserve">On dit stop, on s'éloigne, on va vers un adulte. On ne rend pas un coup comme première solution.</t>
  </si>
  <si>
    <t xml:space="preserve">feat/F-TAX-002-rel-con-001</t>
  </si>
  <si>
    <t xml:space="preserve">REL.CON.002</t>
  </si>
  <si>
    <t xml:space="preserve">Réparer après une bêtise entre enfants</t>
  </si>
  <si>
    <t xml:space="preserve">On peut dire pardon et proposer un geste simple. Ça n'efface pas tout de suite la peine.</t>
  </si>
  <si>
    <t xml:space="preserve">feat/F-TAX-002-rel-con-002</t>
  </si>
  <si>
    <t xml:space="preserve">REL.AMI.001</t>
  </si>
  <si>
    <t xml:space="preserve">Inviter à jouer</t>
  </si>
  <si>
    <t xml:space="preserve">On peut proposer : « tu veux jouer avec nous ? » Accepter un non.</t>
  </si>
  <si>
    <t xml:space="preserve">feat/F-TAX-002-rel-ami-001</t>
  </si>
  <si>
    <t xml:space="preserve">REL.MOQ.001</t>
  </si>
  <si>
    <t xml:space="preserve">Ne pas rire d'un camarade</t>
  </si>
  <si>
    <t xml:space="preserve">On ne se moque pas. On ne répète pas. On dit que ce n'est pas gentil.</t>
  </si>
  <si>
    <t xml:space="preserve">respect</t>
  </si>
  <si>
    <t xml:space="preserve">feat/F-TAX-002-rel-moq-001</t>
  </si>
  <si>
    <t xml:space="preserve">REL.MOQ.002</t>
  </si>
  <si>
    <t xml:space="preserve">Rejoindre celui qui est mis à l'écart</t>
  </si>
  <si>
    <t xml:space="preserve">On va vers lui, on l'invite, on prévient un adulte si ça continue.</t>
  </si>
  <si>
    <t xml:space="preserve">feat/F-TAX-002-rel-moq-002</t>
  </si>
  <si>
    <t xml:space="preserve">REL.MOQ.003</t>
  </si>
  <si>
    <t xml:space="preserve">Raconter à papa ou maman</t>
  </si>
  <si>
    <t xml:space="preserve">On raconte, même si on a soi-même ri. Papa et maman peuvent aider.</t>
  </si>
  <si>
    <t xml:space="preserve">feat/F-TAX-002-rel-moq-003</t>
  </si>
  <si>
    <t xml:space="preserve">DIF.COR.001</t>
  </si>
  <si>
    <t xml:space="preserve">Un camarade plus petit ou plus grand</t>
  </si>
  <si>
    <t xml:space="preserve">Les tailles sont différentes. On joue ensemble. On ne commente pas le corps pour rabaisser.</t>
  </si>
  <si>
    <t xml:space="preserve">feat/F-TAX-002-dif-cor-001</t>
  </si>
  <si>
    <t xml:space="preserve">DIF.COR.002</t>
  </si>
  <si>
    <t xml:space="preserve">Un camarade plus rond ou plus mince</t>
  </si>
  <si>
    <t xml:space="preserve">Le corps n'est pas une blague. L'amitié ne dépend pas de la forme du corps.</t>
  </si>
  <si>
    <t xml:space="preserve">feat/F-TAX-002-dif-cor-002</t>
  </si>
  <si>
    <t xml:space="preserve">DIF.COR.003</t>
  </si>
  <si>
    <t xml:space="preserve">Lunettes, cheveux, apparence</t>
  </si>
  <si>
    <t xml:space="preserve">On ne rit pas des lunettes, des cheveux ou d'un habit différent.</t>
  </si>
  <si>
    <t xml:space="preserve">feat/F-TAX-002-dif-cor-003</t>
  </si>
  <si>
    <t xml:space="preserve">DIF.PAR.001</t>
  </si>
  <si>
    <t xml:space="preserve">Un camarade qui parle peu</t>
  </si>
  <si>
    <t xml:space="preserve">On attend. On n'imite pas. On n'oblige pas à parler. On peut tendre un jouet.</t>
  </si>
  <si>
    <t xml:space="preserve">feat/F-TAX-002-dif-par-001</t>
  </si>
  <si>
    <t xml:space="preserve">DIF.PAR.002</t>
  </si>
  <si>
    <t xml:space="preserve">Ne pas finir les phrases de l'autre</t>
  </si>
  <si>
    <t xml:space="preserve">On laisse le temps. On n'achève pas à sa place.</t>
  </si>
  <si>
    <t xml:space="preserve">feat/F-TAX-002-dif-par-002</t>
  </si>
  <si>
    <t xml:space="preserve">DIF.ENE.001</t>
  </si>
  <si>
    <t xml:space="preserve">Un camarade qui bouge beaucoup</t>
  </si>
  <si>
    <t xml:space="preserve">Certains enfants ont beaucoup d'énergie. Ce n'est pas une faute. On peut jouer, attendre son tour, demander à un adulte.</t>
  </si>
  <si>
    <t xml:space="preserve">feat/F-TAX-002-dif-ene-001</t>
  </si>
  <si>
    <t xml:space="preserve">DIF.BES.001</t>
  </si>
  <si>
    <t xml:space="preserve">Avoir besoin de plus de temps ou de calme</t>
  </si>
  <si>
    <t xml:space="preserve">On attend, on explique la règle une deuxième fois, on accepte qu'il observe d'abord.</t>
  </si>
  <si>
    <t xml:space="preserve">feat/F-TAX-002-dif-bes-001</t>
  </si>
  <si>
    <t xml:space="preserve">DIF.BES.002</t>
  </si>
  <si>
    <t xml:space="preserve">Inviter sans forcer</t>
  </si>
  <si>
    <t xml:space="preserve">On propose. Un non, regarder, ou venir plus tard sont des réponses possibles.</t>
  </si>
  <si>
    <t xml:space="preserve">feat/F-TAX-002-dif-bes-002</t>
  </si>
  <si>
    <t xml:space="preserve">AUT.AFF.001</t>
  </si>
  <si>
    <t xml:space="preserve">Préparer son sac</t>
  </si>
  <si>
    <t xml:space="preserve">Le soir ou le matin, on met dans le sac ce que papa ou maman a dit.</t>
  </si>
  <si>
    <t xml:space="preserve">feat/F-TAX-002-aut-aff-001</t>
  </si>
  <si>
    <t xml:space="preserve">AUT.AFF.002</t>
  </si>
  <si>
    <t xml:space="preserve">Ne pas oublier son manteau</t>
  </si>
  <si>
    <t xml:space="preserve">Avant de sortir, on prend son manteau. On le remet à sa place en rentrant.</t>
  </si>
  <si>
    <t xml:space="preserve">feat/F-TAX-002-aut-aff-002</t>
  </si>
  <si>
    <t xml:space="preserve">AUT.AFF.003</t>
  </si>
  <si>
    <t xml:space="preserve">Retrouver ses jouets avant de partir</t>
  </si>
  <si>
    <t xml:space="preserve">Au parc, on range ses affaires avec soi avant de rentrer.</t>
  </si>
  <si>
    <t xml:space="preserve">feat/F-TAX-002-aut-aff-003</t>
  </si>
  <si>
    <t xml:space="preserve">AUT.RAN.001</t>
  </si>
  <si>
    <t xml:space="preserve">Ranger après le jeu</t>
  </si>
  <si>
    <t xml:space="preserve">Quand le jeu est fini, les jouets retournent dans la caisse.</t>
  </si>
  <si>
    <t xml:space="preserve">feat/F-TAX-002-aut-ran-001</t>
  </si>
  <si>
    <t xml:space="preserve">AUT.ROU.001</t>
  </si>
  <si>
    <t xml:space="preserve">Enchaîner le matin</t>
  </si>
  <si>
    <t xml:space="preserve">On se lève, on s'habille, on déjeune, on prend le sac — une étape après l'autre.</t>
  </si>
  <si>
    <t xml:space="preserve">feat/F-TAX-002-aut-rou-001</t>
  </si>
  <si>
    <t xml:space="preserve">FAM.VER.001</t>
  </si>
  <si>
    <t xml:space="preserve">Raconter une bêtise</t>
  </si>
  <si>
    <t xml:space="preserve">On dit à papa ou maman ce qui s'est passé, même quand on a peur d'être grondé.</t>
  </si>
  <si>
    <t xml:space="preserve">feat/F-TAX-002-fam-ver-001</t>
  </si>
  <si>
    <t xml:space="preserve">FAM.SEC.001</t>
  </si>
  <si>
    <t xml:space="preserve">Une surprise pour un anniversaire</t>
  </si>
  <si>
    <t xml:space="preserve">Une surprise gentille et courte, pour faire plaisir, se garde un peu. Puis on révèle.</t>
  </si>
  <si>
    <t xml:space="preserve">feat/F-TAX-002-fam-sec-001</t>
  </si>
  <si>
    <t xml:space="preserve">FAM.SEC.002</t>
  </si>
  <si>
    <t xml:space="preserve">Ce qui fait peur se raconte</t>
  </si>
  <si>
    <t xml:space="preserve">Si quelque chose fait peur, met mal à l'aise ou est bizarre, on le dit à papa ou maman.</t>
  </si>
  <si>
    <t xml:space="preserve">feat/F-TAX-002-fam-sec-002</t>
  </si>
  <si>
    <t xml:space="preserve">FAM.AID.001</t>
  </si>
  <si>
    <t xml:space="preserve">Appeler papa ou maman</t>
  </si>
  <si>
    <t xml:space="preserve">Quand c'est trop difficile, on va vers papa ou maman et on dit ce dont on a besoin.</t>
  </si>
  <si>
    <t xml:space="preserve">feat/F-TAX-002-fam-aid-001</t>
  </si>
  <si>
    <t xml:space="preserve">COL.POL.001</t>
  </si>
  <si>
    <t xml:space="preserve">Dire bonjour, s'il te plaît, merci</t>
  </si>
  <si>
    <t xml:space="preserve">On salue, on demande, on remercie — mots courts, répétés dans l'histoire.</t>
  </si>
  <si>
    <t xml:space="preserve">feat/F-TAX-002-col-pol-001</t>
  </si>
  <si>
    <t xml:space="preserve">COL.ECO.001</t>
  </si>
  <si>
    <t xml:space="preserve">Écouter la maîtresse ou le maître</t>
  </si>
  <si>
    <t xml:space="preserve">À l'école on écoute l'adulte de la classe. Si quelque chose met mal à l'aise, on le dit à papa ou maman.</t>
  </si>
  <si>
    <t xml:space="preserve">feat/F-TAX-002-col-eco-001</t>
  </si>
  <si>
    <t xml:space="preserve">COL.ECO.002</t>
  </si>
  <si>
    <t xml:space="preserve">Attendre son tour de parole</t>
  </si>
  <si>
    <t xml:space="preserve">On lève la main ou on attend, puis on parle.</t>
  </si>
  <si>
    <t xml:space="preserve">feat/F-TAX-002-col-eco-002</t>
  </si>
  <si>
    <t xml:space="preserve">VIV.ANI.001</t>
  </si>
  <si>
    <t xml:space="preserve">Le cri de l'animal</t>
  </si>
  <si>
    <t xml:space="preserve">On entend et on nomme le cri : le chien aboie, le chat miaule, la vache meugle.</t>
  </si>
  <si>
    <t xml:space="preserve">feat/F-TAX-002-viv-ani-001</t>
  </si>
  <si>
    <t xml:space="preserve">VIV.ANI.002</t>
  </si>
  <si>
    <t xml:space="preserve">Le mâle, la femelle et le petit</t>
  </si>
  <si>
    <t xml:space="preserve">On nomme en français : le coq, la poule, le poussin ; le chat, la chatte, le chaton.</t>
  </si>
  <si>
    <t xml:space="preserve">feat/F-TAX-002-viv-ani-002</t>
  </si>
  <si>
    <t xml:space="preserve">VIV.ANI.003</t>
  </si>
  <si>
    <t xml:space="preserve">Prendre soin d'un animal avec un adulte</t>
  </si>
  <si>
    <t xml:space="preserve">On donne à manger ou on remplit l'eau avec papa ou maman. On est doux.</t>
  </si>
  <si>
    <t xml:space="preserve">feat/F-TAX-002-viv-ani-003</t>
  </si>
  <si>
    <t xml:space="preserve">VIV.PLA.001</t>
  </si>
  <si>
    <t xml:space="preserve">Arroser une plante</t>
  </si>
  <si>
    <t xml:space="preserve">Une plante a besoin d'eau et de lumière. On arrose avec un adulte.</t>
  </si>
  <si>
    <t xml:space="preserve">feat/F-TAX-002-viv-pla-001</t>
  </si>
  <si>
    <t xml:space="preserve">TMP.JOU.001</t>
  </si>
  <si>
    <t xml:space="preserve">Le soleil, la lune et les étoiles</t>
  </si>
  <si>
    <t xml:space="preserve">Le jour le soleil éclaire. La nuit on voit la lune et les étoiles. On se couche la nuit.</t>
  </si>
  <si>
    <t xml:space="preserve">feat/F-TAX-002-tmp-jou-001</t>
  </si>
  <si>
    <t xml:space="preserve">TMP.SEM.001</t>
  </si>
  <si>
    <t xml:space="preserve">Les sept jours</t>
  </si>
  <si>
    <t xml:space="preserve">On entend et on répète les sept jours, dans l'ordre.</t>
  </si>
  <si>
    <t xml:space="preserve">feat/F-TAX-002-tmp-sem-001</t>
  </si>
  <si>
    <t xml:space="preserve">TMP.SEM.002</t>
  </si>
  <si>
    <t xml:space="preserve">Le mercredi et le week-end</t>
  </si>
  <si>
    <t xml:space="preserve">Certains jours on va à l'école, d'autres on est à la maison. Mercredi et week-end sont nommés.</t>
  </si>
  <si>
    <t xml:space="preserve">feat/F-TAX-002-tmp-sem-002</t>
  </si>
  <si>
    <t xml:space="preserve">TMP.MOI.001</t>
  </si>
  <si>
    <t xml:space="preserve">Les douze mois</t>
  </si>
  <si>
    <t xml:space="preserve">On entend les douze mois. On situe un anniversaire dans un mois.</t>
  </si>
  <si>
    <t xml:space="preserve">feat/F-TAX-002-tmp-moi-001</t>
  </si>
  <si>
    <t xml:space="preserve">TMP.SAI.001</t>
  </si>
  <si>
    <t xml:space="preserve">Les quatre saisons</t>
  </si>
  <si>
    <t xml:space="preserve">Printemps, été, automne, hiver : un signe simple chacun (pluie de feuilles, manteau, fleurs).</t>
  </si>
  <si>
    <t xml:space="preserve">feat/F-TAX-002-tmp-sai-001</t>
  </si>
  <si>
    <t xml:space="preserve">TMP.MET.001</t>
  </si>
  <si>
    <t xml:space="preserve">Choisir le manteau selon le temps</t>
  </si>
  <si>
    <t xml:space="preserve">S'il fait froid ou s'il pleut, on prend le manteau ou les bottes.</t>
  </si>
  <si>
    <t xml:space="preserve">feat/F-TAX-002-tmp-met-001</t>
  </si>
  <si>
    <t xml:space="preserve">SOC.TRA.001</t>
  </si>
  <si>
    <t xml:space="preserve">Le train, l'avion, le bateau</t>
  </si>
  <si>
    <t xml:space="preserve">On nomme le véhicule, on entend un bruit distinct, on voyage avec un adulte.</t>
  </si>
  <si>
    <t xml:space="preserve">feat/F-TAX-002-soc-tra-001</t>
  </si>
  <si>
    <t xml:space="preserve">SOC.TRA.002</t>
  </si>
  <si>
    <t xml:space="preserve">Rester assis dans le transport</t>
  </si>
  <si>
    <t xml:space="preserve">Dans la voiture, le train ou le bus, on reste assis, ceinture ou place, avec l'adulte.</t>
  </si>
  <si>
    <t xml:space="preserve">feat/F-TAX-002-soc-tra-002</t>
  </si>
  <si>
    <t xml:space="preserve">SOC.MET.001</t>
  </si>
  <si>
    <t xml:space="preserve">Des métiers de tous les jours</t>
  </si>
  <si>
    <t xml:space="preserve">Le boulanger fait le pain, le médecin soigne, la maîtresse apprend. Vocabulaire concret.</t>
  </si>
  <si>
    <t xml:space="preserve">feat/F-TAX-002-soc-met-001</t>
  </si>
  <si>
    <t xml:space="preserve">SOC.ARG.001</t>
  </si>
  <si>
    <t xml:space="preserve">À quoi sert l'argent</t>
  </si>
  <si>
    <t xml:space="preserve">Papa ou maman travaille. L'argent sert à acheter le pain, les légumes, les chaussures.</t>
  </si>
  <si>
    <t xml:space="preserve">feat/F-TAX-002-soc-arg-001</t>
  </si>
  <si>
    <t xml:space="preserve">SOC.ARG.002</t>
  </si>
  <si>
    <t xml:space="preserve">On ne prend pas l'argent tout seul</t>
  </si>
  <si>
    <t xml:space="preserve">L'argent se range. On demande à papa ou maman pour un achat.</t>
  </si>
  <si>
    <t xml:space="preserve">feat/F-TAX-002-soc-arg-002</t>
  </si>
  <si>
    <t xml:space="preserve">SOC.CUI.001</t>
  </si>
  <si>
    <t xml:space="preserve">Aider à préparer</t>
  </si>
  <si>
    <t xml:space="preserve">On lave une tomate, on met la cuillère, on apporte le pain — tâches sûres, avec un adulte.</t>
  </si>
  <si>
    <t xml:space="preserve">feat/F-TAX-002-soc-cui-001</t>
  </si>
  <si>
    <t xml:space="preserve">SOC.PAY.001</t>
  </si>
  <si>
    <t xml:space="preserve">D'autres pays, d'autres paysages</t>
  </si>
  <si>
    <t xml:space="preserve">On entend le nom d'un pays et un élément concret (mer, montagne, désert) sans politique.</t>
  </si>
  <si>
    <t xml:space="preserve">feat/F-TAX-002-soc-pay-001</t>
  </si>
  <si>
    <t xml:space="preserve">JEU.BAL.001</t>
  </si>
  <si>
    <t xml:space="preserve">Jouer au ballon ensemble</t>
  </si>
  <si>
    <t xml:space="preserve">On se passe le ballon. Chacun a un tour. On reste dans le jeu montré par l'adulte.</t>
  </si>
  <si>
    <t xml:space="preserve">feat/F-TAX-002-jeu-bal-001</t>
  </si>
  <si>
    <t xml:space="preserve">JEU.REG.001</t>
  </si>
  <si>
    <t xml:space="preserve">Accepter de perdre</t>
  </si>
  <si>
    <t xml:space="preserve">Parfois l'autre gagne. On peut être déçu et rejouer plus tard.</t>
  </si>
  <si>
    <t xml:space="preserve">feat/F-TAX-002-jeu-reg-001</t>
  </si>
  <si>
    <t xml:space="preserve">JEU.REG.002</t>
  </si>
  <si>
    <t xml:space="preserve">Suivre une règle simple</t>
  </si>
  <si>
    <t xml:space="preserve">Le jeu a une règle (attendre, passer, s'arrêter). On la rappelle une fois.</t>
  </si>
  <si>
    <t xml:space="preserve">feat/F-TAX-002-jeu-reg-002</t>
  </si>
  <si>
    <t xml:space="preserve">LAN.MOT.001</t>
  </si>
  <si>
    <t xml:space="preserve">Nommer et classer</t>
  </si>
  <si>
    <t xml:space="preserve">On range des choses : les fruits ensemble, les habits ensemble.</t>
  </si>
  <si>
    <t xml:space="preserve">feat/F-TAX-002-lan-mot-001</t>
  </si>
  <si>
    <t xml:space="preserve">LAN.NOM.001</t>
  </si>
  <si>
    <t xml:space="preserve">Compter jusqu'à cinq ou dix</t>
  </si>
  <si>
    <t xml:space="preserve">On compte des objets concrets dans l'histoire (trois tomates, cinq pas).</t>
  </si>
  <si>
    <t xml:space="preserve">feat/F-TAX-002-lan-nom-001</t>
  </si>
  <si>
    <t xml:space="preserve">LAN.SON.001</t>
  </si>
  <si>
    <t xml:space="preserve">Reconnaître un son du quotidien</t>
  </si>
  <si>
    <t xml:space="preserve">La pluie, le train, le chat : on nomme ce qu'on entend.</t>
  </si>
  <si>
    <t xml:space="preserve">feat/F-TAX-002-lan-son-001</t>
  </si>
  <si>
    <t xml:space="preserve">Arbre pilote conseillé — Une sortie au parc</t>
  </si>
  <si>
    <t xml:space="preserve">Un seul arbre, plusieurs leçons en scènes séparées, plusieurs fins distinctes. Sert à éprouver moteur + validateurs + formulation positive.</t>
  </si>
  <si>
    <t xml:space="preserve">Ordre dans l'arbre</t>
  </si>
  <si>
    <t xml:space="preserve">Rôle dans la scène</t>
  </si>
  <si>
    <t xml:space="preserve">Notes de génération</t>
  </si>
  <si>
    <t xml:space="preserve">Accroche / trajet</t>
  </si>
  <si>
    <t xml:space="preserve">Principale puis</t>
  </si>
  <si>
    <t xml:space="preserve">S'arrêter au bord. Ne pas décrire la course sur la chaussée.</t>
  </si>
  <si>
    <t xml:space="preserve">Traversée</t>
  </si>
  <si>
    <t xml:space="preserve">Principale</t>
  </si>
  <si>
    <t xml:space="preserve">Feu vert, main, adulte. Question : « où attend-on ? »</t>
  </si>
  <si>
    <t xml:space="preserve">Arrivée au parc</t>
  </si>
  <si>
    <t xml:space="preserve">Secondaire</t>
  </si>
  <si>
    <t xml:space="preserve">Ballon</t>
  </si>
  <si>
    <t xml:space="preserve">Principale de scène</t>
  </si>
  <si>
    <t xml:space="preserve">Partager / attendre son tour. Choix narratif jardin / bac à sable possible avant.</t>
  </si>
  <si>
    <t xml:space="preserve">Camarade qui bouscule</t>
  </si>
  <si>
    <t xml:space="preserve">Stop, s'éloigner, adulte. Pas de mode d'emploi de la bagarre.</t>
  </si>
  <si>
    <t xml:space="preserve">Colère</t>
  </si>
  <si>
    <t xml:space="preserve">Secondaire liée</t>
  </si>
  <si>
    <t xml:space="preserve">Nommer la colère après la bousculade. Mains loin.</t>
  </si>
  <si>
    <t xml:space="preserve">Geste</t>
  </si>
  <si>
    <t xml:space="preserve">Renfort</t>
  </si>
  <si>
    <t xml:space="preserve">Dire stop et s'éloigner — réutilise la scène précédente.</t>
  </si>
  <si>
    <t xml:space="preserve">Camarade plus petit</t>
  </si>
  <si>
    <t xml:space="preserve">Branche possible</t>
  </si>
  <si>
    <t xml:space="preserve">On l'invite au ballon. On ne commente pas la taille.</t>
  </si>
  <si>
    <t xml:space="preserve">Camarade très actif</t>
  </si>
  <si>
    <t xml:space="preserve">On joue avec lui, on attend, on demande à l'adulte si besoin.</t>
  </si>
  <si>
    <t xml:space="preserve">Moquerie entendue</t>
  </si>
  <si>
    <t xml:space="preserve">Ne pas rire. Ce n'est pas le gag de l'histoire.</t>
  </si>
  <si>
    <t xml:space="preserve">Soutien</t>
  </si>
  <si>
    <t xml:space="preserve">Suite de branche</t>
  </si>
  <si>
    <t xml:space="preserve">Rejoindre, prévenir un adulte si ça continue.</t>
  </si>
  <si>
    <t xml:space="preserve">Départ</t>
  </si>
  <si>
    <t xml:space="preserve">Fermeture</t>
  </si>
  <si>
    <t xml:space="preserve">Retrouver le manteau / le seau avant de rentrer.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</si>
</sst>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5D50"/>
      <name val="Calibri"/>
      <family val="0"/>
      <charset val="1"/>
    </font>
    <font>
      <i val="true"/>
      <sz val="11"/>
      <color rgb="FF5A5A5A"/>
      <name val="Calibri"/>
      <family val="0"/>
      <charset val="1"/>
    </font>
    <font>
      <b val="true"/>
      <sz val="11"/>
      <color rgb="FF2F5D50"/>
      <name val="Calibri"/>
      <family val="0"/>
      <charset val="1"/>
    </font>
    <font>
      <sz val="10"/>
      <color rgb="FF2C2C2C"/>
      <name val="Calibri"/>
      <family val="0"/>
      <charset val="1"/>
    </font>
    <font>
      <b val="true"/>
      <sz val="14"/>
      <color rgb="FF2C2C2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C45C2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F5E9"/>
        <bgColor rgb="FFEEEEEE"/>
      </patternFill>
    </fill>
    <fill>
      <patternFill patternType="solid">
        <fgColor rgb="FF2F5D50"/>
        <bgColor rgb="FF5A5A5A"/>
      </patternFill>
    </fill>
    <fill>
      <patternFill patternType="solid">
        <fgColor rgb="FFF4F7F6"/>
        <bgColor rgb="FFE8F5E9"/>
      </patternFill>
    </fill>
    <fill>
      <patternFill patternType="solid">
        <fgColor rgb="FFFFFFFF"/>
        <bgColor rgb="FFF4F7F6"/>
      </patternFill>
    </fill>
    <fill>
      <patternFill patternType="solid">
        <fgColor rgb="FFC8E6C9"/>
        <bgColor rgb="FFD0D5D3"/>
      </patternFill>
    </fill>
    <fill>
      <patternFill patternType="solid">
        <fgColor rgb="FFFFF8E1"/>
        <bgColor rgb="FFF4F7F6"/>
      </patternFill>
    </fill>
    <fill>
      <patternFill patternType="solid">
        <fgColor rgb="FFEEEEEE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3"/>
      </left>
      <right style="thin">
        <color rgb="FFD0D5D3"/>
      </right>
      <top style="thin">
        <color rgb="FFD0D5D3"/>
      </top>
      <bottom style="thin">
        <color rgb="FFD0D5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D50"/>
          <bgColor rgb="FF000000"/>
        </patternFill>
      </fill>
    </dxf>
    <dxf>
      <fill>
        <patternFill patternType="solid">
          <fgColor rgb="FFF4F7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45C26"/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0D5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6"/>
      <rgbColor rgb="FFC8E6C9"/>
      <rgbColor rgb="FFEEEE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5C26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2F5D50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  <c r="G6" s="4"/>
    </row>
    <row r="7" customFormat="false" ht="15" hidden="false" customHeight="false" outlineLevel="0" collapsed="false">
      <c r="B7" s="4" t="s">
        <v>4</v>
      </c>
      <c r="C7" s="4"/>
      <c r="D7" s="4"/>
      <c r="E7" s="4"/>
      <c r="F7" s="4"/>
      <c r="G7" s="4"/>
    </row>
    <row r="8" customFormat="false" ht="15" hidden="false" customHeight="false" outlineLevel="0" collapsed="false">
      <c r="B8" s="4" t="s">
        <v>5</v>
      </c>
      <c r="C8" s="4"/>
      <c r="D8" s="4"/>
      <c r="E8" s="4"/>
      <c r="F8" s="4"/>
      <c r="G8" s="4"/>
    </row>
    <row r="10" customFormat="false" ht="15" hidden="false" customHeight="false" outlineLevel="0" collapsed="false">
      <c r="B10" s="3" t="s">
        <v>6</v>
      </c>
      <c r="C10" s="3"/>
      <c r="D10" s="3"/>
      <c r="E10" s="3"/>
      <c r="F10" s="3"/>
      <c r="G10" s="3"/>
    </row>
    <row r="11" customFormat="false" ht="15" hidden="false" customHeight="false" outlineLevel="0" collapsed="false">
      <c r="B11" s="4" t="s">
        <v>7</v>
      </c>
      <c r="C11" s="4"/>
      <c r="D11" s="4"/>
      <c r="E11" s="4"/>
      <c r="F11" s="4"/>
      <c r="G11" s="4"/>
    </row>
    <row r="12" customFormat="false" ht="15" hidden="false" customHeight="false" outlineLevel="0" collapsed="false">
      <c r="B12" s="4" t="s">
        <v>8</v>
      </c>
      <c r="C12" s="4"/>
      <c r="D12" s="4"/>
      <c r="E12" s="4"/>
      <c r="F12" s="4"/>
      <c r="G12" s="4"/>
    </row>
    <row r="13" customFormat="false" ht="15" hidden="false" customHeight="false" outlineLevel="0" collapsed="false">
      <c r="B13" s="4" t="s">
        <v>9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B14" s="4" t="s">
        <v>10</v>
      </c>
      <c r="C14" s="4"/>
      <c r="D14" s="4"/>
      <c r="E14" s="4"/>
      <c r="F14" s="4"/>
      <c r="G14" s="4"/>
    </row>
    <row r="16" customFormat="false" ht="15" hidden="false" customHeight="false" outlineLevel="0" collapsed="false">
      <c r="B16" s="3" t="s">
        <v>11</v>
      </c>
      <c r="C16" s="3"/>
      <c r="D16" s="3"/>
      <c r="E16" s="3"/>
      <c r="F16" s="3"/>
      <c r="G16" s="3"/>
    </row>
    <row r="17" customFormat="false" ht="15" hidden="false" customHeight="false" outlineLevel="0" collapsed="false">
      <c r="B17" s="4" t="s">
        <v>12</v>
      </c>
      <c r="C17" s="4"/>
      <c r="D17" s="4"/>
      <c r="E17" s="4"/>
      <c r="F17" s="4"/>
      <c r="G17" s="4"/>
    </row>
    <row r="18" customFormat="false" ht="15" hidden="false" customHeight="false" outlineLevel="0" collapsed="false">
      <c r="B18" s="4" t="s">
        <v>13</v>
      </c>
      <c r="C18" s="4"/>
      <c r="D18" s="4"/>
      <c r="E18" s="4"/>
      <c r="F18" s="4"/>
      <c r="G18" s="4"/>
    </row>
    <row r="19" customFormat="false" ht="15" hidden="false" customHeight="false" outlineLevel="0" collapsed="false">
      <c r="B19" s="4" t="s">
        <v>14</v>
      </c>
      <c r="C19" s="4"/>
      <c r="D19" s="4"/>
      <c r="E19" s="4"/>
      <c r="F19" s="4"/>
      <c r="G19" s="4"/>
    </row>
    <row r="21" customFormat="false" ht="15" hidden="false" customHeight="false" outlineLevel="0" collapsed="false">
      <c r="B21" s="3" t="s">
        <v>15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B22" s="4" t="s">
        <v>16</v>
      </c>
      <c r="C22" s="4"/>
      <c r="D22" s="4"/>
      <c r="E22" s="4"/>
      <c r="F22" s="4"/>
      <c r="G22" s="4"/>
    </row>
    <row r="23" customFormat="false" ht="15" hidden="false" customHeight="false" outlineLevel="0" collapsed="false">
      <c r="B23" s="4" t="s">
        <v>17</v>
      </c>
      <c r="C23" s="4"/>
      <c r="D23" s="4"/>
      <c r="E23" s="4"/>
      <c r="F23" s="4"/>
      <c r="G23" s="4"/>
    </row>
    <row r="24" customFormat="false" ht="15" hidden="false" customHeight="false" outlineLevel="0" collapsed="false">
      <c r="B24" s="4" t="s">
        <v>18</v>
      </c>
      <c r="C24" s="4"/>
      <c r="D24" s="4"/>
      <c r="E24" s="4"/>
      <c r="F24" s="4"/>
      <c r="G24" s="4"/>
    </row>
    <row r="25" customFormat="false" ht="15" hidden="false" customHeight="false" outlineLevel="0" collapsed="false">
      <c r="B25" s="4" t="s">
        <v>19</v>
      </c>
      <c r="C25" s="4"/>
      <c r="D25" s="4"/>
      <c r="E25" s="4"/>
      <c r="F25" s="4"/>
      <c r="G25" s="4"/>
    </row>
  </sheetData>
  <mergeCells count="20">
    <mergeCell ref="B2:G2"/>
    <mergeCell ref="B3:G3"/>
    <mergeCell ref="B5:G5"/>
    <mergeCell ref="B6:G6"/>
    <mergeCell ref="B7:G7"/>
    <mergeCell ref="B8:G8"/>
    <mergeCell ref="B10:G10"/>
    <mergeCell ref="B11:G11"/>
    <mergeCell ref="B12:G12"/>
    <mergeCell ref="B13:G13"/>
    <mergeCell ref="B14:G14"/>
    <mergeCell ref="B16:G16"/>
    <mergeCell ref="B17:G17"/>
    <mergeCell ref="B18:G18"/>
    <mergeCell ref="B19:G19"/>
    <mergeCell ref="B21:G21"/>
    <mergeCell ref="B22:G22"/>
    <mergeCell ref="B23:G23"/>
    <mergeCell ref="B24:G24"/>
    <mergeCell ref="B25:G25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Taxonomie</oddHeader>
    <oddFooter>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2"/>
  </cols>
  <sheetData>
    <row r="2" customFormat="false" ht="22.05" hidden="false" customHeight="false" outlineLevel="0" collapsed="false">
      <c r="B2" s="5" t="s">
        <v>20</v>
      </c>
    </row>
    <row r="4" customFormat="false" ht="17.35" hidden="false" customHeight="false" outlineLevel="0" collapsed="false">
      <c r="B4" s="6" t="s">
        <v>21</v>
      </c>
      <c r="C4" s="7" t="n">
        <f aca="false">COUNTA(Leçons!E2:E82)</f>
        <v>81</v>
      </c>
    </row>
    <row r="5" customFormat="false" ht="17.35" hidden="false" customHeight="false" outlineLevel="0" collapsed="false">
      <c r="B5" s="6" t="s">
        <v>22</v>
      </c>
      <c r="C5" s="8" t="n">
        <f aca="false">COUNTIF(Leçons!I:I,"V1-pilote")</f>
        <v>13</v>
      </c>
    </row>
    <row r="6" customFormat="false" ht="17.35" hidden="false" customHeight="false" outlineLevel="0" collapsed="false">
      <c r="B6" s="6" t="s">
        <v>23</v>
      </c>
      <c r="C6" s="7" t="n">
        <f aca="false">COUNTIF(Leçons!I:I,"V1")</f>
        <v>44</v>
      </c>
    </row>
    <row r="7" customFormat="false" ht="17.35" hidden="false" customHeight="false" outlineLevel="0" collapsed="false">
      <c r="B7" s="6" t="s">
        <v>24</v>
      </c>
      <c r="C7" s="7" t="n">
        <f aca="false">COUNTIF(Leçons!I:I,"V1.1")</f>
        <v>22</v>
      </c>
    </row>
    <row r="8" customFormat="false" ht="17.35" hidden="false" customHeight="false" outlineLevel="0" collapsed="false">
      <c r="B8" s="6" t="s">
        <v>25</v>
      </c>
      <c r="C8" s="7" t="n">
        <f aca="false">COUNTIF(Leçons!I:I,"Plus tard")</f>
        <v>2</v>
      </c>
    </row>
    <row r="10" customFormat="false" ht="17.35" hidden="false" customHeight="false" outlineLevel="0" collapsed="false">
      <c r="B10" s="6" t="s">
        <v>26</v>
      </c>
      <c r="C10" s="7" t="n">
        <f aca="false">COUNTIF(Leçons!H:H,"positive_only_critical")</f>
        <v>9</v>
      </c>
    </row>
    <row r="11" customFormat="false" ht="17.35" hidden="false" customHeight="false" outlineLevel="0" collapsed="false">
      <c r="B11" s="6" t="s">
        <v>27</v>
      </c>
      <c r="C11" s="7" t="n">
        <f aca="false">COUNTIF(Leçons!H:H,"emotional")</f>
        <v>13</v>
      </c>
    </row>
    <row r="12" customFormat="false" ht="17.35" hidden="false" customHeight="false" outlineLevel="0" collapsed="false">
      <c r="B12" s="6" t="s">
        <v>28</v>
      </c>
      <c r="C12" s="7" t="n">
        <f aca="false">COUNTIF(Leçons!H:H,"respect")</f>
        <v>11</v>
      </c>
    </row>
    <row r="13" customFormat="false" ht="17.35" hidden="false" customHeight="false" outlineLevel="0" collapsed="false">
      <c r="B13" s="6" t="s">
        <v>29</v>
      </c>
      <c r="C13" s="7" t="n">
        <f aca="false">COUNTIF(Leçons!H:H,"standard")</f>
        <v>48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Volume</oddHeader>
    <oddFooter>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4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</row>
    <row r="2" customFormat="false" ht="36" hidden="false" customHeight="true" outlineLevel="0" collapsed="false">
      <c r="A2" s="10" t="s">
        <v>37</v>
      </c>
      <c r="B2" s="11" t="s">
        <v>38</v>
      </c>
      <c r="C2" s="11" t="s">
        <v>39</v>
      </c>
      <c r="D2" s="11" t="s">
        <v>40</v>
      </c>
      <c r="E2" s="11" t="n">
        <f aca="false">COUNTIF(Leçons!A:A,A2)</f>
        <v>9</v>
      </c>
      <c r="F2" s="11" t="n">
        <f aca="false">COUNTIFS(Leçons!A:A,A2,Leçons!I:I,"V1-pilote")</f>
        <v>1</v>
      </c>
      <c r="G2" s="11" t="s">
        <v>41</v>
      </c>
    </row>
    <row r="3" customFormat="false" ht="36" hidden="false" customHeight="true" outlineLevel="0" collapsed="false">
      <c r="A3" s="12" t="s">
        <v>42</v>
      </c>
      <c r="B3" s="13" t="s">
        <v>43</v>
      </c>
      <c r="C3" s="13" t="s">
        <v>44</v>
      </c>
      <c r="D3" s="13" t="s">
        <v>45</v>
      </c>
      <c r="E3" s="13" t="n">
        <f aca="false">COUNTIF(Leçons!A:A,A3)</f>
        <v>9</v>
      </c>
      <c r="F3" s="13" t="n">
        <f aca="false">COUNTIFS(Leçons!A:A,A3,Leçons!I:I,"V1-pilote")</f>
        <v>3</v>
      </c>
      <c r="G3" s="13" t="s">
        <v>46</v>
      </c>
    </row>
    <row r="4" customFormat="false" ht="36" hidden="false" customHeight="true" outlineLevel="0" collapsed="false">
      <c r="A4" s="10" t="s">
        <v>47</v>
      </c>
      <c r="B4" s="11" t="s">
        <v>48</v>
      </c>
      <c r="C4" s="11" t="s">
        <v>49</v>
      </c>
      <c r="D4" s="11" t="s">
        <v>50</v>
      </c>
      <c r="E4" s="11" t="n">
        <f aca="false">COUNTIF(Leçons!A:A,A4)</f>
        <v>12</v>
      </c>
      <c r="F4" s="11" t="n">
        <f aca="false">COUNTIFS(Leçons!A:A,A4,Leçons!I:I,"V1-pilote")</f>
        <v>2</v>
      </c>
      <c r="G4" s="11" t="s">
        <v>51</v>
      </c>
    </row>
    <row r="5" customFormat="false" ht="36" hidden="false" customHeight="true" outlineLevel="0" collapsed="false">
      <c r="A5" s="12" t="s">
        <v>52</v>
      </c>
      <c r="B5" s="13" t="s">
        <v>53</v>
      </c>
      <c r="C5" s="13" t="s">
        <v>54</v>
      </c>
      <c r="D5" s="13" t="s">
        <v>55</v>
      </c>
      <c r="E5" s="13" t="n">
        <f aca="false">COUNTIF(Leçons!A:A,A5)</f>
        <v>8</v>
      </c>
      <c r="F5" s="13" t="n">
        <f aca="false">COUNTIFS(Leçons!A:A,A5,Leçons!I:I,"V1-pilote")</f>
        <v>3</v>
      </c>
      <c r="G5" s="13" t="s">
        <v>56</v>
      </c>
    </row>
    <row r="6" customFormat="false" ht="36" hidden="false" customHeight="true" outlineLevel="0" collapsed="false">
      <c r="A6" s="10" t="s">
        <v>57</v>
      </c>
      <c r="B6" s="11" t="s">
        <v>58</v>
      </c>
      <c r="C6" s="11" t="s">
        <v>59</v>
      </c>
      <c r="D6" s="11" t="s">
        <v>60</v>
      </c>
      <c r="E6" s="11" t="n">
        <f aca="false">COUNTIF(Leçons!A:A,A6)</f>
        <v>8</v>
      </c>
      <c r="F6" s="11" t="n">
        <f aca="false">COUNTIFS(Leçons!A:A,A6,Leçons!I:I,"V1-pilote")</f>
        <v>2</v>
      </c>
      <c r="G6" s="11" t="s">
        <v>61</v>
      </c>
    </row>
    <row r="7" customFormat="false" ht="36" hidden="false" customHeight="true" outlineLevel="0" collapsed="false">
      <c r="A7" s="12" t="s">
        <v>62</v>
      </c>
      <c r="B7" s="13" t="s">
        <v>63</v>
      </c>
      <c r="C7" s="13" t="s">
        <v>64</v>
      </c>
      <c r="D7" s="13" t="s">
        <v>65</v>
      </c>
      <c r="E7" s="13" t="n">
        <f aca="false">COUNTIF(Leçons!A:A,A7)</f>
        <v>5</v>
      </c>
      <c r="F7" s="13" t="n">
        <f aca="false">COUNTIFS(Leçons!A:A,A7,Leçons!I:I,"V1-pilote")</f>
        <v>2</v>
      </c>
      <c r="G7" s="13" t="s">
        <v>66</v>
      </c>
    </row>
    <row r="8" customFormat="false" ht="36" hidden="false" customHeight="true" outlineLevel="0" collapsed="false">
      <c r="A8" s="10" t="s">
        <v>67</v>
      </c>
      <c r="B8" s="11" t="s">
        <v>68</v>
      </c>
      <c r="C8" s="11" t="s">
        <v>69</v>
      </c>
      <c r="D8" s="11" t="s">
        <v>70</v>
      </c>
      <c r="E8" s="11" t="n">
        <f aca="false">COUNTIF(Leçons!A:A,A8)</f>
        <v>4</v>
      </c>
      <c r="F8" s="11" t="n">
        <f aca="false">COUNTIFS(Leçons!A:A,A8,Leçons!I:I,"V1-pilote")</f>
        <v>0</v>
      </c>
      <c r="G8" s="11" t="s">
        <v>71</v>
      </c>
    </row>
    <row r="9" customFormat="false" ht="36" hidden="false" customHeight="true" outlineLevel="0" collapsed="false">
      <c r="A9" s="12" t="s">
        <v>72</v>
      </c>
      <c r="B9" s="13" t="s">
        <v>73</v>
      </c>
      <c r="C9" s="13" t="s">
        <v>74</v>
      </c>
      <c r="D9" s="13" t="s">
        <v>75</v>
      </c>
      <c r="E9" s="13" t="n">
        <f aca="false">COUNTIF(Leçons!A:A,A9)</f>
        <v>3</v>
      </c>
      <c r="F9" s="13" t="n">
        <f aca="false">COUNTIFS(Leçons!A:A,A9,Leçons!I:I,"V1-pilote")</f>
        <v>0</v>
      </c>
      <c r="G9" s="13" t="s">
        <v>76</v>
      </c>
    </row>
    <row r="10" customFormat="false" ht="36" hidden="false" customHeight="true" outlineLevel="0" collapsed="false">
      <c r="A10" s="10" t="s">
        <v>77</v>
      </c>
      <c r="B10" s="11" t="s">
        <v>78</v>
      </c>
      <c r="C10" s="11" t="s">
        <v>79</v>
      </c>
      <c r="D10" s="11" t="s">
        <v>80</v>
      </c>
      <c r="E10" s="11" t="n">
        <f aca="false">COUNTIF(Leçons!A:A,A10)</f>
        <v>4</v>
      </c>
      <c r="F10" s="11" t="n">
        <f aca="false">COUNTIFS(Leçons!A:A,A10,Leçons!I:I,"V1-pilote")</f>
        <v>0</v>
      </c>
      <c r="G10" s="11" t="s">
        <v>81</v>
      </c>
    </row>
    <row r="11" customFormat="false" ht="36" hidden="false" customHeight="true" outlineLevel="0" collapsed="false">
      <c r="A11" s="12" t="s">
        <v>82</v>
      </c>
      <c r="B11" s="13" t="s">
        <v>83</v>
      </c>
      <c r="C11" s="13" t="s">
        <v>84</v>
      </c>
      <c r="D11" s="13" t="s">
        <v>85</v>
      </c>
      <c r="E11" s="13" t="n">
        <f aca="false">COUNTIF(Leçons!A:A,A11)</f>
        <v>6</v>
      </c>
      <c r="F11" s="13" t="n">
        <f aca="false">COUNTIFS(Leçons!A:A,A11,Leçons!I:I,"V1-pilote")</f>
        <v>0</v>
      </c>
      <c r="G11" s="13" t="s">
        <v>86</v>
      </c>
    </row>
    <row r="12" customFormat="false" ht="36" hidden="false" customHeight="true" outlineLevel="0" collapsed="false">
      <c r="A12" s="10" t="s">
        <v>87</v>
      </c>
      <c r="B12" s="11" t="s">
        <v>88</v>
      </c>
      <c r="C12" s="11" t="s">
        <v>89</v>
      </c>
      <c r="D12" s="11" t="s">
        <v>90</v>
      </c>
      <c r="E12" s="11" t="n">
        <f aca="false">COUNTIF(Leçons!A:A,A12)</f>
        <v>7</v>
      </c>
      <c r="F12" s="11" t="n">
        <f aca="false">COUNTIFS(Leçons!A:A,A12,Leçons!I:I,"V1-pilote")</f>
        <v>0</v>
      </c>
      <c r="G12" s="11" t="s">
        <v>91</v>
      </c>
    </row>
    <row r="13" customFormat="false" ht="36" hidden="false" customHeight="true" outlineLevel="0" collapsed="false">
      <c r="A13" s="12" t="s">
        <v>92</v>
      </c>
      <c r="B13" s="13" t="s">
        <v>93</v>
      </c>
      <c r="C13" s="13" t="s">
        <v>94</v>
      </c>
      <c r="D13" s="13" t="s">
        <v>95</v>
      </c>
      <c r="E13" s="13" t="n">
        <f aca="false">COUNTIF(Leçons!A:A,A13)</f>
        <v>3</v>
      </c>
      <c r="F13" s="13" t="n">
        <f aca="false">COUNTIFS(Leçons!A:A,A13,Leçons!I:I,"V1-pilote")</f>
        <v>0</v>
      </c>
      <c r="G13" s="13" t="s">
        <v>96</v>
      </c>
    </row>
    <row r="14" customFormat="false" ht="36" hidden="false" customHeight="true" outlineLevel="0" collapsed="false">
      <c r="A14" s="10" t="s">
        <v>97</v>
      </c>
      <c r="B14" s="11" t="s">
        <v>98</v>
      </c>
      <c r="C14" s="11" t="s">
        <v>99</v>
      </c>
      <c r="D14" s="11" t="s">
        <v>100</v>
      </c>
      <c r="E14" s="11" t="n">
        <f aca="false">COUNTIF(Leçons!A:A,A14)</f>
        <v>3</v>
      </c>
      <c r="F14" s="11" t="n">
        <f aca="false">COUNTIFS(Leçons!A:A,A14,Leçons!I:I,"V1-pilote")</f>
        <v>0</v>
      </c>
      <c r="G14" s="11" t="s">
        <v>101</v>
      </c>
    </row>
  </sheetData>
  <autoFilter ref="A1:G14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Domaines</oddHeader>
    <oddFooter>&amp;RPage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12"/>
  </cols>
  <sheetData>
    <row r="1" customFormat="false" ht="28.35" hidden="false" customHeight="false" outlineLevel="0" collapsed="false">
      <c r="A1" s="9" t="s">
        <v>102</v>
      </c>
      <c r="B1" s="9" t="s">
        <v>31</v>
      </c>
      <c r="C1" s="9" t="s">
        <v>103</v>
      </c>
      <c r="D1" s="9" t="s">
        <v>104</v>
      </c>
      <c r="E1" s="9" t="s">
        <v>34</v>
      </c>
    </row>
    <row r="2" customFormat="false" ht="27.75" hidden="false" customHeight="true" outlineLevel="0" collapsed="false">
      <c r="A2" s="10" t="s">
        <v>105</v>
      </c>
      <c r="B2" s="11" t="s">
        <v>38</v>
      </c>
      <c r="C2" s="11" t="s">
        <v>106</v>
      </c>
      <c r="D2" s="11" t="s">
        <v>107</v>
      </c>
      <c r="E2" s="11" t="n">
        <f aca="false">COUNTIF(Leçons!C:C,A2)</f>
        <v>3</v>
      </c>
    </row>
    <row r="3" customFormat="false" ht="27.75" hidden="false" customHeight="true" outlineLevel="0" collapsed="false">
      <c r="A3" s="12" t="s">
        <v>108</v>
      </c>
      <c r="B3" s="13" t="s">
        <v>38</v>
      </c>
      <c r="C3" s="13" t="s">
        <v>109</v>
      </c>
      <c r="D3" s="13" t="s">
        <v>110</v>
      </c>
      <c r="E3" s="13" t="n">
        <f aca="false">COUNTIF(Leçons!C:C,A3)</f>
        <v>3</v>
      </c>
    </row>
    <row r="4" customFormat="false" ht="27.75" hidden="false" customHeight="true" outlineLevel="0" collapsed="false">
      <c r="A4" s="10" t="s">
        <v>111</v>
      </c>
      <c r="B4" s="11" t="s">
        <v>38</v>
      </c>
      <c r="C4" s="11" t="s">
        <v>112</v>
      </c>
      <c r="D4" s="11" t="s">
        <v>113</v>
      </c>
      <c r="E4" s="11" t="n">
        <f aca="false">COUNTIF(Leçons!C:C,A4)</f>
        <v>1</v>
      </c>
    </row>
    <row r="5" customFormat="false" ht="27.75" hidden="false" customHeight="true" outlineLevel="0" collapsed="false">
      <c r="A5" s="12" t="s">
        <v>114</v>
      </c>
      <c r="B5" s="13" t="s">
        <v>38</v>
      </c>
      <c r="C5" s="13" t="s">
        <v>115</v>
      </c>
      <c r="D5" s="13" t="s">
        <v>116</v>
      </c>
      <c r="E5" s="13" t="n">
        <f aca="false">COUNTIF(Leçons!C:C,A5)</f>
        <v>1</v>
      </c>
    </row>
    <row r="6" customFormat="false" ht="27.75" hidden="false" customHeight="true" outlineLevel="0" collapsed="false">
      <c r="A6" s="10" t="s">
        <v>117</v>
      </c>
      <c r="B6" s="11" t="s">
        <v>38</v>
      </c>
      <c r="C6" s="11" t="s">
        <v>118</v>
      </c>
      <c r="D6" s="11" t="s">
        <v>119</v>
      </c>
      <c r="E6" s="11" t="n">
        <f aca="false">COUNTIF(Leçons!C:C,A6)</f>
        <v>1</v>
      </c>
    </row>
    <row r="7" customFormat="false" ht="27.75" hidden="false" customHeight="true" outlineLevel="0" collapsed="false">
      <c r="A7" s="12" t="s">
        <v>120</v>
      </c>
      <c r="B7" s="13" t="s">
        <v>43</v>
      </c>
      <c r="C7" s="13" t="s">
        <v>121</v>
      </c>
      <c r="D7" s="13" t="s">
        <v>122</v>
      </c>
      <c r="E7" s="13" t="n">
        <f aca="false">COUNTIF(Leçons!C:C,A7)</f>
        <v>3</v>
      </c>
    </row>
    <row r="8" customFormat="false" ht="27.75" hidden="false" customHeight="true" outlineLevel="0" collapsed="false">
      <c r="A8" s="10" t="s">
        <v>123</v>
      </c>
      <c r="B8" s="11" t="s">
        <v>43</v>
      </c>
      <c r="C8" s="11" t="s">
        <v>124</v>
      </c>
      <c r="D8" s="11" t="s">
        <v>125</v>
      </c>
      <c r="E8" s="11" t="n">
        <f aca="false">COUNTIF(Leçons!C:C,A8)</f>
        <v>3</v>
      </c>
    </row>
    <row r="9" customFormat="false" ht="27.75" hidden="false" customHeight="true" outlineLevel="0" collapsed="false">
      <c r="A9" s="12" t="s">
        <v>126</v>
      </c>
      <c r="B9" s="13" t="s">
        <v>43</v>
      </c>
      <c r="C9" s="13" t="s">
        <v>127</v>
      </c>
      <c r="D9" s="13" t="s">
        <v>128</v>
      </c>
      <c r="E9" s="13" t="n">
        <f aca="false">COUNTIF(Leçons!C:C,A9)</f>
        <v>1</v>
      </c>
    </row>
    <row r="10" customFormat="false" ht="27.75" hidden="false" customHeight="true" outlineLevel="0" collapsed="false">
      <c r="A10" s="10" t="s">
        <v>129</v>
      </c>
      <c r="B10" s="11" t="s">
        <v>43</v>
      </c>
      <c r="C10" s="11" t="s">
        <v>130</v>
      </c>
      <c r="D10" s="11" t="s">
        <v>131</v>
      </c>
      <c r="E10" s="11" t="n">
        <f aca="false">COUNTIF(Leçons!C:C,A10)</f>
        <v>2</v>
      </c>
    </row>
    <row r="11" customFormat="false" ht="27.75" hidden="false" customHeight="true" outlineLevel="0" collapsed="false">
      <c r="A11" s="12" t="s">
        <v>132</v>
      </c>
      <c r="B11" s="13" t="s">
        <v>48</v>
      </c>
      <c r="C11" s="13" t="s">
        <v>133</v>
      </c>
      <c r="D11" s="13" t="s">
        <v>134</v>
      </c>
      <c r="E11" s="13" t="n">
        <f aca="false">COUNTIF(Leçons!C:C,A11)</f>
        <v>10</v>
      </c>
    </row>
    <row r="12" customFormat="false" ht="27.75" hidden="false" customHeight="true" outlineLevel="0" collapsed="false">
      <c r="A12" s="10" t="s">
        <v>135</v>
      </c>
      <c r="B12" s="11" t="s">
        <v>48</v>
      </c>
      <c r="C12" s="11" t="s">
        <v>136</v>
      </c>
      <c r="D12" s="11" t="s">
        <v>137</v>
      </c>
      <c r="E12" s="11" t="n">
        <f aca="false">COUNTIF(Leçons!C:C,A12)</f>
        <v>2</v>
      </c>
    </row>
    <row r="13" customFormat="false" ht="27.75" hidden="false" customHeight="true" outlineLevel="0" collapsed="false">
      <c r="A13" s="12" t="s">
        <v>138</v>
      </c>
      <c r="B13" s="13" t="s">
        <v>53</v>
      </c>
      <c r="C13" s="13" t="s">
        <v>139</v>
      </c>
      <c r="D13" s="13" t="s">
        <v>140</v>
      </c>
      <c r="E13" s="13" t="n">
        <f aca="false">COUNTIF(Leçons!C:C,A13)</f>
        <v>2</v>
      </c>
    </row>
    <row r="14" customFormat="false" ht="27.75" hidden="false" customHeight="true" outlineLevel="0" collapsed="false">
      <c r="A14" s="10" t="s">
        <v>141</v>
      </c>
      <c r="B14" s="11" t="s">
        <v>53</v>
      </c>
      <c r="C14" s="11" t="s">
        <v>142</v>
      </c>
      <c r="D14" s="11" t="s">
        <v>143</v>
      </c>
      <c r="E14" s="11" t="n">
        <f aca="false">COUNTIF(Leçons!C:C,A14)</f>
        <v>2</v>
      </c>
    </row>
    <row r="15" customFormat="false" ht="27.75" hidden="false" customHeight="true" outlineLevel="0" collapsed="false">
      <c r="A15" s="12" t="s">
        <v>144</v>
      </c>
      <c r="B15" s="13" t="s">
        <v>53</v>
      </c>
      <c r="C15" s="13" t="s">
        <v>145</v>
      </c>
      <c r="D15" s="13" t="s">
        <v>146</v>
      </c>
      <c r="E15" s="13" t="n">
        <f aca="false">COUNTIF(Leçons!C:C,A15)</f>
        <v>1</v>
      </c>
    </row>
    <row r="16" customFormat="false" ht="27.75" hidden="false" customHeight="true" outlineLevel="0" collapsed="false">
      <c r="A16" s="10" t="s">
        <v>147</v>
      </c>
      <c r="B16" s="11" t="s">
        <v>53</v>
      </c>
      <c r="C16" s="11" t="s">
        <v>148</v>
      </c>
      <c r="D16" s="11" t="s">
        <v>149</v>
      </c>
      <c r="E16" s="11" t="n">
        <f aca="false">COUNTIF(Leçons!C:C,A16)</f>
        <v>3</v>
      </c>
    </row>
    <row r="17" customFormat="false" ht="27.75" hidden="false" customHeight="true" outlineLevel="0" collapsed="false">
      <c r="A17" s="12" t="s">
        <v>150</v>
      </c>
      <c r="B17" s="13" t="s">
        <v>58</v>
      </c>
      <c r="C17" s="13" t="s">
        <v>151</v>
      </c>
      <c r="D17" s="13" t="s">
        <v>152</v>
      </c>
      <c r="E17" s="13" t="n">
        <f aca="false">COUNTIF(Leçons!C:C,A17)</f>
        <v>3</v>
      </c>
    </row>
    <row r="18" customFormat="false" ht="27.75" hidden="false" customHeight="true" outlineLevel="0" collapsed="false">
      <c r="A18" s="10" t="s">
        <v>153</v>
      </c>
      <c r="B18" s="11" t="s">
        <v>58</v>
      </c>
      <c r="C18" s="11" t="s">
        <v>154</v>
      </c>
      <c r="D18" s="11" t="s">
        <v>155</v>
      </c>
      <c r="E18" s="11" t="n">
        <f aca="false">COUNTIF(Leçons!C:C,A18)</f>
        <v>2</v>
      </c>
    </row>
    <row r="19" customFormat="false" ht="27.75" hidden="false" customHeight="true" outlineLevel="0" collapsed="false">
      <c r="A19" s="12" t="s">
        <v>156</v>
      </c>
      <c r="B19" s="13" t="s">
        <v>58</v>
      </c>
      <c r="C19" s="13" t="s">
        <v>157</v>
      </c>
      <c r="D19" s="13" t="s">
        <v>158</v>
      </c>
      <c r="E19" s="13" t="n">
        <f aca="false">COUNTIF(Leçons!C:C,A19)</f>
        <v>1</v>
      </c>
    </row>
    <row r="20" customFormat="false" ht="27.75" hidden="false" customHeight="true" outlineLevel="0" collapsed="false">
      <c r="A20" s="10" t="s">
        <v>159</v>
      </c>
      <c r="B20" s="11" t="s">
        <v>58</v>
      </c>
      <c r="C20" s="11" t="s">
        <v>160</v>
      </c>
      <c r="D20" s="11" t="s">
        <v>161</v>
      </c>
      <c r="E20" s="11" t="n">
        <f aca="false">COUNTIF(Leçons!C:C,A20)</f>
        <v>2</v>
      </c>
    </row>
    <row r="21" customFormat="false" ht="27.75" hidden="false" customHeight="true" outlineLevel="0" collapsed="false">
      <c r="A21" s="12" t="s">
        <v>162</v>
      </c>
      <c r="B21" s="13" t="s">
        <v>63</v>
      </c>
      <c r="C21" s="13" t="s">
        <v>163</v>
      </c>
      <c r="D21" s="13" t="s">
        <v>164</v>
      </c>
      <c r="E21" s="13" t="n">
        <f aca="false">COUNTIF(Leçons!C:C,A21)</f>
        <v>3</v>
      </c>
    </row>
    <row r="22" customFormat="false" ht="27.75" hidden="false" customHeight="true" outlineLevel="0" collapsed="false">
      <c r="A22" s="10" t="s">
        <v>165</v>
      </c>
      <c r="B22" s="11" t="s">
        <v>63</v>
      </c>
      <c r="C22" s="11" t="s">
        <v>166</v>
      </c>
      <c r="D22" s="11" t="s">
        <v>167</v>
      </c>
      <c r="E22" s="11" t="n">
        <f aca="false">COUNTIF(Leçons!C:C,A22)</f>
        <v>1</v>
      </c>
    </row>
    <row r="23" customFormat="false" ht="27.75" hidden="false" customHeight="true" outlineLevel="0" collapsed="false">
      <c r="A23" s="12" t="s">
        <v>168</v>
      </c>
      <c r="B23" s="13" t="s">
        <v>63</v>
      </c>
      <c r="C23" s="13" t="s">
        <v>169</v>
      </c>
      <c r="D23" s="13" t="s">
        <v>170</v>
      </c>
      <c r="E23" s="13" t="n">
        <f aca="false">COUNTIF(Leçons!C:C,A23)</f>
        <v>1</v>
      </c>
    </row>
    <row r="24" customFormat="false" ht="27.75" hidden="false" customHeight="true" outlineLevel="0" collapsed="false">
      <c r="A24" s="10" t="s">
        <v>171</v>
      </c>
      <c r="B24" s="11" t="s">
        <v>68</v>
      </c>
      <c r="C24" s="11" t="s">
        <v>172</v>
      </c>
      <c r="D24" s="11" t="s">
        <v>173</v>
      </c>
      <c r="E24" s="11" t="n">
        <f aca="false">COUNTIF(Leçons!C:C,A24)</f>
        <v>1</v>
      </c>
    </row>
    <row r="25" customFormat="false" ht="27.75" hidden="false" customHeight="true" outlineLevel="0" collapsed="false">
      <c r="A25" s="12" t="s">
        <v>174</v>
      </c>
      <c r="B25" s="13" t="s">
        <v>68</v>
      </c>
      <c r="C25" s="13" t="s">
        <v>175</v>
      </c>
      <c r="D25" s="13" t="s">
        <v>176</v>
      </c>
      <c r="E25" s="13" t="n">
        <f aca="false">COUNTIF(Leçons!C:C,A25)</f>
        <v>2</v>
      </c>
    </row>
    <row r="26" customFormat="false" ht="27.75" hidden="false" customHeight="true" outlineLevel="0" collapsed="false">
      <c r="A26" s="10" t="s">
        <v>177</v>
      </c>
      <c r="B26" s="11" t="s">
        <v>68</v>
      </c>
      <c r="C26" s="11" t="s">
        <v>178</v>
      </c>
      <c r="D26" s="11" t="s">
        <v>179</v>
      </c>
      <c r="E26" s="11" t="n">
        <f aca="false">COUNTIF(Leçons!C:C,A26)</f>
        <v>1</v>
      </c>
    </row>
    <row r="27" customFormat="false" ht="27.75" hidden="false" customHeight="true" outlineLevel="0" collapsed="false">
      <c r="A27" s="12" t="s">
        <v>180</v>
      </c>
      <c r="B27" s="13" t="s">
        <v>73</v>
      </c>
      <c r="C27" s="13" t="s">
        <v>181</v>
      </c>
      <c r="D27" s="13" t="s">
        <v>182</v>
      </c>
      <c r="E27" s="13" t="n">
        <f aca="false">COUNTIF(Leçons!C:C,A27)</f>
        <v>1</v>
      </c>
    </row>
    <row r="28" customFormat="false" ht="27.75" hidden="false" customHeight="true" outlineLevel="0" collapsed="false">
      <c r="A28" s="10" t="s">
        <v>183</v>
      </c>
      <c r="B28" s="11" t="s">
        <v>73</v>
      </c>
      <c r="C28" s="11" t="s">
        <v>184</v>
      </c>
      <c r="D28" s="11" t="s">
        <v>185</v>
      </c>
      <c r="E28" s="11" t="n">
        <f aca="false">COUNTIF(Leçons!C:C,A28)</f>
        <v>2</v>
      </c>
    </row>
    <row r="29" customFormat="false" ht="27.75" hidden="false" customHeight="true" outlineLevel="0" collapsed="false">
      <c r="A29" s="12" t="s">
        <v>186</v>
      </c>
      <c r="B29" s="13" t="s">
        <v>78</v>
      </c>
      <c r="C29" s="13" t="s">
        <v>187</v>
      </c>
      <c r="D29" s="13" t="s">
        <v>188</v>
      </c>
      <c r="E29" s="13" t="n">
        <f aca="false">COUNTIF(Leçons!C:C,A29)</f>
        <v>3</v>
      </c>
    </row>
    <row r="30" customFormat="false" ht="27.75" hidden="false" customHeight="true" outlineLevel="0" collapsed="false">
      <c r="A30" s="10" t="s">
        <v>189</v>
      </c>
      <c r="B30" s="11" t="s">
        <v>78</v>
      </c>
      <c r="C30" s="11" t="s">
        <v>190</v>
      </c>
      <c r="D30" s="11" t="s">
        <v>191</v>
      </c>
      <c r="E30" s="11" t="n">
        <f aca="false">COUNTIF(Leçons!C:C,A30)</f>
        <v>1</v>
      </c>
    </row>
    <row r="31" customFormat="false" ht="27.75" hidden="false" customHeight="true" outlineLevel="0" collapsed="false">
      <c r="A31" s="12" t="s">
        <v>192</v>
      </c>
      <c r="B31" s="13" t="s">
        <v>83</v>
      </c>
      <c r="C31" s="13" t="s">
        <v>193</v>
      </c>
      <c r="D31" s="13" t="s">
        <v>194</v>
      </c>
      <c r="E31" s="13" t="n">
        <f aca="false">COUNTIF(Leçons!C:C,A31)</f>
        <v>1</v>
      </c>
    </row>
    <row r="32" customFormat="false" ht="27.75" hidden="false" customHeight="true" outlineLevel="0" collapsed="false">
      <c r="A32" s="10" t="s">
        <v>195</v>
      </c>
      <c r="B32" s="11" t="s">
        <v>83</v>
      </c>
      <c r="C32" s="11" t="s">
        <v>196</v>
      </c>
      <c r="D32" s="11" t="s">
        <v>197</v>
      </c>
      <c r="E32" s="11" t="n">
        <f aca="false">COUNTIF(Leçons!C:C,A32)</f>
        <v>2</v>
      </c>
    </row>
    <row r="33" customFormat="false" ht="27.75" hidden="false" customHeight="true" outlineLevel="0" collapsed="false">
      <c r="A33" s="12" t="s">
        <v>198</v>
      </c>
      <c r="B33" s="13" t="s">
        <v>83</v>
      </c>
      <c r="C33" s="13" t="s">
        <v>199</v>
      </c>
      <c r="D33" s="13" t="s">
        <v>200</v>
      </c>
      <c r="E33" s="13" t="n">
        <f aca="false">COUNTIF(Leçons!C:C,A33)</f>
        <v>1</v>
      </c>
    </row>
    <row r="34" customFormat="false" ht="27.75" hidden="false" customHeight="true" outlineLevel="0" collapsed="false">
      <c r="A34" s="10" t="s">
        <v>201</v>
      </c>
      <c r="B34" s="11" t="s">
        <v>83</v>
      </c>
      <c r="C34" s="11" t="s">
        <v>202</v>
      </c>
      <c r="D34" s="11" t="s">
        <v>203</v>
      </c>
      <c r="E34" s="11" t="n">
        <f aca="false">COUNTIF(Leçons!C:C,A34)</f>
        <v>1</v>
      </c>
    </row>
    <row r="35" customFormat="false" ht="27.75" hidden="false" customHeight="true" outlineLevel="0" collapsed="false">
      <c r="A35" s="12" t="s">
        <v>204</v>
      </c>
      <c r="B35" s="13" t="s">
        <v>83</v>
      </c>
      <c r="C35" s="13" t="s">
        <v>205</v>
      </c>
      <c r="D35" s="13" t="s">
        <v>206</v>
      </c>
      <c r="E35" s="13" t="n">
        <f aca="false">COUNTIF(Leçons!C:C,A35)</f>
        <v>1</v>
      </c>
    </row>
    <row r="36" customFormat="false" ht="27.75" hidden="false" customHeight="true" outlineLevel="0" collapsed="false">
      <c r="A36" s="10" t="s">
        <v>207</v>
      </c>
      <c r="B36" s="11" t="s">
        <v>88</v>
      </c>
      <c r="C36" s="11" t="s">
        <v>208</v>
      </c>
      <c r="D36" s="11" t="s">
        <v>209</v>
      </c>
      <c r="E36" s="11" t="n">
        <f aca="false">COUNTIF(Leçons!C:C,A36)</f>
        <v>2</v>
      </c>
    </row>
    <row r="37" customFormat="false" ht="27.75" hidden="false" customHeight="true" outlineLevel="0" collapsed="false">
      <c r="A37" s="12" t="s">
        <v>210</v>
      </c>
      <c r="B37" s="13" t="s">
        <v>88</v>
      </c>
      <c r="C37" s="13" t="s">
        <v>211</v>
      </c>
      <c r="D37" s="13" t="s">
        <v>212</v>
      </c>
      <c r="E37" s="13" t="n">
        <f aca="false">COUNTIF(Leçons!C:C,A37)</f>
        <v>1</v>
      </c>
    </row>
    <row r="38" customFormat="false" ht="27.75" hidden="false" customHeight="true" outlineLevel="0" collapsed="false">
      <c r="A38" s="10" t="s">
        <v>213</v>
      </c>
      <c r="B38" s="11" t="s">
        <v>88</v>
      </c>
      <c r="C38" s="11" t="s">
        <v>214</v>
      </c>
      <c r="D38" s="11" t="s">
        <v>215</v>
      </c>
      <c r="E38" s="11" t="n">
        <f aca="false">COUNTIF(Leçons!C:C,A38)</f>
        <v>2</v>
      </c>
    </row>
    <row r="39" customFormat="false" ht="27.75" hidden="false" customHeight="true" outlineLevel="0" collapsed="false">
      <c r="A39" s="12" t="s">
        <v>216</v>
      </c>
      <c r="B39" s="13" t="s">
        <v>88</v>
      </c>
      <c r="C39" s="13" t="s">
        <v>217</v>
      </c>
      <c r="D39" s="13" t="s">
        <v>218</v>
      </c>
      <c r="E39" s="13" t="n">
        <f aca="false">COUNTIF(Leçons!C:C,A39)</f>
        <v>1</v>
      </c>
    </row>
    <row r="40" customFormat="false" ht="27.75" hidden="false" customHeight="true" outlineLevel="0" collapsed="false">
      <c r="A40" s="10" t="s">
        <v>219</v>
      </c>
      <c r="B40" s="11" t="s">
        <v>88</v>
      </c>
      <c r="C40" s="11" t="s">
        <v>220</v>
      </c>
      <c r="D40" s="11" t="s">
        <v>221</v>
      </c>
      <c r="E40" s="11" t="n">
        <f aca="false">COUNTIF(Leçons!C:C,A40)</f>
        <v>1</v>
      </c>
    </row>
    <row r="41" customFormat="false" ht="27.75" hidden="false" customHeight="true" outlineLevel="0" collapsed="false">
      <c r="A41" s="12" t="s">
        <v>222</v>
      </c>
      <c r="B41" s="13" t="s">
        <v>93</v>
      </c>
      <c r="C41" s="13" t="s">
        <v>223</v>
      </c>
      <c r="D41" s="13" t="s">
        <v>224</v>
      </c>
      <c r="E41" s="13" t="n">
        <f aca="false">COUNTIF(Leçons!C:C,A41)</f>
        <v>1</v>
      </c>
    </row>
    <row r="42" customFormat="false" ht="27.75" hidden="false" customHeight="true" outlineLevel="0" collapsed="false">
      <c r="A42" s="10" t="s">
        <v>225</v>
      </c>
      <c r="B42" s="11" t="s">
        <v>93</v>
      </c>
      <c r="C42" s="11" t="s">
        <v>226</v>
      </c>
      <c r="D42" s="11" t="s">
        <v>227</v>
      </c>
      <c r="E42" s="11" t="n">
        <f aca="false">COUNTIF(Leçons!C:C,A42)</f>
        <v>2</v>
      </c>
    </row>
    <row r="43" customFormat="false" ht="27.75" hidden="false" customHeight="true" outlineLevel="0" collapsed="false">
      <c r="A43" s="12" t="s">
        <v>228</v>
      </c>
      <c r="B43" s="13" t="s">
        <v>98</v>
      </c>
      <c r="C43" s="13" t="s">
        <v>229</v>
      </c>
      <c r="D43" s="13" t="s">
        <v>230</v>
      </c>
      <c r="E43" s="13" t="n">
        <f aca="false">COUNTIF(Leçons!C:C,A43)</f>
        <v>1</v>
      </c>
    </row>
    <row r="44" customFormat="false" ht="27.75" hidden="false" customHeight="true" outlineLevel="0" collapsed="false">
      <c r="A44" s="10" t="s">
        <v>231</v>
      </c>
      <c r="B44" s="11" t="s">
        <v>98</v>
      </c>
      <c r="C44" s="11" t="s">
        <v>232</v>
      </c>
      <c r="D44" s="11" t="s">
        <v>233</v>
      </c>
      <c r="E44" s="11" t="n">
        <f aca="false">COUNTIF(Leçons!C:C,A44)</f>
        <v>1</v>
      </c>
    </row>
    <row r="45" customFormat="false" ht="27.75" hidden="false" customHeight="true" outlineLevel="0" collapsed="false">
      <c r="A45" s="12" t="s">
        <v>234</v>
      </c>
      <c r="B45" s="13" t="s">
        <v>98</v>
      </c>
      <c r="C45" s="13" t="s">
        <v>235</v>
      </c>
      <c r="D45" s="13" t="s">
        <v>236</v>
      </c>
      <c r="E45" s="13" t="n">
        <f aca="false">COUNTIF(Leçons!C:C,A45)</f>
        <v>1</v>
      </c>
    </row>
  </sheetData>
  <autoFilter ref="A1:E45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Sous-domaines</oddHeader>
    <oddFooter>&amp;RPage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6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36"/>
  </cols>
  <sheetData>
    <row r="1" customFormat="false" ht="28.35" hidden="false" customHeight="false" outlineLevel="0" collapsed="false">
      <c r="A1" s="9" t="s">
        <v>237</v>
      </c>
      <c r="B1" s="9" t="s">
        <v>31</v>
      </c>
      <c r="C1" s="9" t="s">
        <v>238</v>
      </c>
      <c r="D1" s="9" t="s">
        <v>103</v>
      </c>
      <c r="E1" s="9" t="s">
        <v>239</v>
      </c>
      <c r="F1" s="9" t="s">
        <v>240</v>
      </c>
      <c r="G1" s="9" t="s">
        <v>241</v>
      </c>
      <c r="H1" s="9" t="s">
        <v>242</v>
      </c>
      <c r="I1" s="9" t="s">
        <v>243</v>
      </c>
      <c r="J1" s="9" t="s">
        <v>244</v>
      </c>
    </row>
    <row r="2" customFormat="false" ht="36" hidden="false" customHeight="true" outlineLevel="0" collapsed="false">
      <c r="A2" s="14" t="s">
        <v>37</v>
      </c>
      <c r="B2" s="15" t="s">
        <v>38</v>
      </c>
      <c r="C2" s="14" t="s">
        <v>105</v>
      </c>
      <c r="D2" s="15" t="s">
        <v>106</v>
      </c>
      <c r="E2" s="14" t="s">
        <v>245</v>
      </c>
      <c r="F2" s="15" t="s">
        <v>246</v>
      </c>
      <c r="G2" s="15" t="s">
        <v>247</v>
      </c>
      <c r="H2" s="15" t="s">
        <v>248</v>
      </c>
      <c r="I2" s="15" t="s">
        <v>22</v>
      </c>
      <c r="J2" s="15" t="s">
        <v>249</v>
      </c>
    </row>
    <row r="3" customFormat="false" ht="36" hidden="false" customHeight="true" outlineLevel="0" collapsed="false">
      <c r="A3" s="16" t="s">
        <v>37</v>
      </c>
      <c r="B3" s="17" t="s">
        <v>38</v>
      </c>
      <c r="C3" s="16" t="s">
        <v>105</v>
      </c>
      <c r="D3" s="17" t="s">
        <v>106</v>
      </c>
      <c r="E3" s="16" t="s">
        <v>250</v>
      </c>
      <c r="F3" s="17" t="s">
        <v>251</v>
      </c>
      <c r="G3" s="17" t="s">
        <v>252</v>
      </c>
      <c r="H3" s="17" t="s">
        <v>248</v>
      </c>
      <c r="I3" s="17" t="s">
        <v>23</v>
      </c>
      <c r="J3" s="17" t="s">
        <v>253</v>
      </c>
    </row>
    <row r="4" customFormat="false" ht="36" hidden="false" customHeight="true" outlineLevel="0" collapsed="false">
      <c r="A4" s="18" t="s">
        <v>37</v>
      </c>
      <c r="B4" s="19" t="s">
        <v>38</v>
      </c>
      <c r="C4" s="18" t="s">
        <v>105</v>
      </c>
      <c r="D4" s="19" t="s">
        <v>106</v>
      </c>
      <c r="E4" s="18" t="s">
        <v>254</v>
      </c>
      <c r="F4" s="19" t="s">
        <v>255</v>
      </c>
      <c r="G4" s="19" t="s">
        <v>256</v>
      </c>
      <c r="H4" s="19" t="s">
        <v>248</v>
      </c>
      <c r="I4" s="19" t="s">
        <v>24</v>
      </c>
      <c r="J4" s="19" t="s">
        <v>257</v>
      </c>
    </row>
    <row r="5" customFormat="false" ht="36" hidden="false" customHeight="true" outlineLevel="0" collapsed="false">
      <c r="A5" s="16" t="s">
        <v>37</v>
      </c>
      <c r="B5" s="17" t="s">
        <v>38</v>
      </c>
      <c r="C5" s="16" t="s">
        <v>108</v>
      </c>
      <c r="D5" s="17" t="s">
        <v>109</v>
      </c>
      <c r="E5" s="16" t="s">
        <v>258</v>
      </c>
      <c r="F5" s="17" t="s">
        <v>259</v>
      </c>
      <c r="G5" s="17" t="s">
        <v>260</v>
      </c>
      <c r="H5" s="17" t="s">
        <v>248</v>
      </c>
      <c r="I5" s="17" t="s">
        <v>23</v>
      </c>
      <c r="J5" s="17" t="s">
        <v>261</v>
      </c>
    </row>
    <row r="6" customFormat="false" ht="36" hidden="false" customHeight="true" outlineLevel="0" collapsed="false">
      <c r="A6" s="16" t="s">
        <v>37</v>
      </c>
      <c r="B6" s="17" t="s">
        <v>38</v>
      </c>
      <c r="C6" s="16" t="s">
        <v>108</v>
      </c>
      <c r="D6" s="17" t="s">
        <v>109</v>
      </c>
      <c r="E6" s="16" t="s">
        <v>262</v>
      </c>
      <c r="F6" s="17" t="s">
        <v>263</v>
      </c>
      <c r="G6" s="17" t="s">
        <v>264</v>
      </c>
      <c r="H6" s="17" t="s">
        <v>248</v>
      </c>
      <c r="I6" s="17" t="s">
        <v>23</v>
      </c>
      <c r="J6" s="17" t="s">
        <v>265</v>
      </c>
    </row>
    <row r="7" customFormat="false" ht="36" hidden="false" customHeight="true" outlineLevel="0" collapsed="false">
      <c r="A7" s="18" t="s">
        <v>37</v>
      </c>
      <c r="B7" s="19" t="s">
        <v>38</v>
      </c>
      <c r="C7" s="18" t="s">
        <v>108</v>
      </c>
      <c r="D7" s="19" t="s">
        <v>109</v>
      </c>
      <c r="E7" s="18" t="s">
        <v>266</v>
      </c>
      <c r="F7" s="19" t="s">
        <v>267</v>
      </c>
      <c r="G7" s="19" t="s">
        <v>268</v>
      </c>
      <c r="H7" s="19" t="s">
        <v>248</v>
      </c>
      <c r="I7" s="19" t="s">
        <v>24</v>
      </c>
      <c r="J7" s="19" t="s">
        <v>269</v>
      </c>
    </row>
    <row r="8" customFormat="false" ht="36" hidden="false" customHeight="true" outlineLevel="0" collapsed="false">
      <c r="A8" s="16" t="s">
        <v>37</v>
      </c>
      <c r="B8" s="17" t="s">
        <v>38</v>
      </c>
      <c r="C8" s="16" t="s">
        <v>111</v>
      </c>
      <c r="D8" s="17" t="s">
        <v>112</v>
      </c>
      <c r="E8" s="16" t="s">
        <v>270</v>
      </c>
      <c r="F8" s="17" t="s">
        <v>271</v>
      </c>
      <c r="G8" s="17" t="s">
        <v>272</v>
      </c>
      <c r="H8" s="17" t="s">
        <v>248</v>
      </c>
      <c r="I8" s="17" t="s">
        <v>23</v>
      </c>
      <c r="J8" s="17" t="s">
        <v>273</v>
      </c>
    </row>
    <row r="9" customFormat="false" ht="36" hidden="false" customHeight="true" outlineLevel="0" collapsed="false">
      <c r="A9" s="18" t="s">
        <v>37</v>
      </c>
      <c r="B9" s="19" t="s">
        <v>38</v>
      </c>
      <c r="C9" s="18" t="s">
        <v>114</v>
      </c>
      <c r="D9" s="19" t="s">
        <v>115</v>
      </c>
      <c r="E9" s="18" t="s">
        <v>274</v>
      </c>
      <c r="F9" s="19" t="s">
        <v>275</v>
      </c>
      <c r="G9" s="19" t="s">
        <v>276</v>
      </c>
      <c r="H9" s="19" t="s">
        <v>248</v>
      </c>
      <c r="I9" s="19" t="s">
        <v>24</v>
      </c>
      <c r="J9" s="19" t="s">
        <v>277</v>
      </c>
    </row>
    <row r="10" customFormat="false" ht="36" hidden="false" customHeight="true" outlineLevel="0" collapsed="false">
      <c r="A10" s="16" t="s">
        <v>37</v>
      </c>
      <c r="B10" s="17" t="s">
        <v>38</v>
      </c>
      <c r="C10" s="16" t="s">
        <v>117</v>
      </c>
      <c r="D10" s="17" t="s">
        <v>118</v>
      </c>
      <c r="E10" s="16" t="s">
        <v>278</v>
      </c>
      <c r="F10" s="17" t="s">
        <v>279</v>
      </c>
      <c r="G10" s="17" t="s">
        <v>280</v>
      </c>
      <c r="H10" s="17" t="s">
        <v>248</v>
      </c>
      <c r="I10" s="17" t="s">
        <v>23</v>
      </c>
      <c r="J10" s="17" t="s">
        <v>281</v>
      </c>
    </row>
    <row r="11" customFormat="false" ht="36" hidden="false" customHeight="true" outlineLevel="0" collapsed="false">
      <c r="A11" s="14" t="s">
        <v>42</v>
      </c>
      <c r="B11" s="15" t="s">
        <v>43</v>
      </c>
      <c r="C11" s="14" t="s">
        <v>120</v>
      </c>
      <c r="D11" s="15" t="s">
        <v>121</v>
      </c>
      <c r="E11" s="14" t="s">
        <v>282</v>
      </c>
      <c r="F11" s="15" t="s">
        <v>283</v>
      </c>
      <c r="G11" s="15" t="s">
        <v>284</v>
      </c>
      <c r="H11" s="15" t="s">
        <v>285</v>
      </c>
      <c r="I11" s="15" t="s">
        <v>22</v>
      </c>
      <c r="J11" s="15" t="s">
        <v>286</v>
      </c>
    </row>
    <row r="12" customFormat="false" ht="36" hidden="false" customHeight="true" outlineLevel="0" collapsed="false">
      <c r="A12" s="14" t="s">
        <v>42</v>
      </c>
      <c r="B12" s="15" t="s">
        <v>43</v>
      </c>
      <c r="C12" s="14" t="s">
        <v>120</v>
      </c>
      <c r="D12" s="15" t="s">
        <v>121</v>
      </c>
      <c r="E12" s="14" t="s">
        <v>287</v>
      </c>
      <c r="F12" s="15" t="s">
        <v>288</v>
      </c>
      <c r="G12" s="15" t="s">
        <v>289</v>
      </c>
      <c r="H12" s="15" t="s">
        <v>285</v>
      </c>
      <c r="I12" s="15" t="s">
        <v>22</v>
      </c>
      <c r="J12" s="15" t="s">
        <v>290</v>
      </c>
    </row>
    <row r="13" customFormat="false" ht="36" hidden="false" customHeight="true" outlineLevel="0" collapsed="false">
      <c r="A13" s="16" t="s">
        <v>42</v>
      </c>
      <c r="B13" s="17" t="s">
        <v>43</v>
      </c>
      <c r="C13" s="16" t="s">
        <v>120</v>
      </c>
      <c r="D13" s="17" t="s">
        <v>121</v>
      </c>
      <c r="E13" s="16" t="s">
        <v>291</v>
      </c>
      <c r="F13" s="17" t="s">
        <v>292</v>
      </c>
      <c r="G13" s="17" t="s">
        <v>293</v>
      </c>
      <c r="H13" s="17" t="s">
        <v>285</v>
      </c>
      <c r="I13" s="17" t="s">
        <v>23</v>
      </c>
      <c r="J13" s="17" t="s">
        <v>294</v>
      </c>
    </row>
    <row r="14" customFormat="false" ht="36" hidden="false" customHeight="true" outlineLevel="0" collapsed="false">
      <c r="A14" s="16" t="s">
        <v>42</v>
      </c>
      <c r="B14" s="17" t="s">
        <v>43</v>
      </c>
      <c r="C14" s="16" t="s">
        <v>123</v>
      </c>
      <c r="D14" s="17" t="s">
        <v>124</v>
      </c>
      <c r="E14" s="16" t="s">
        <v>295</v>
      </c>
      <c r="F14" s="17" t="s">
        <v>296</v>
      </c>
      <c r="G14" s="17" t="s">
        <v>297</v>
      </c>
      <c r="H14" s="17" t="s">
        <v>285</v>
      </c>
      <c r="I14" s="17" t="s">
        <v>23</v>
      </c>
      <c r="J14" s="17" t="s">
        <v>298</v>
      </c>
    </row>
    <row r="15" customFormat="false" ht="36" hidden="false" customHeight="true" outlineLevel="0" collapsed="false">
      <c r="A15" s="16" t="s">
        <v>42</v>
      </c>
      <c r="B15" s="17" t="s">
        <v>43</v>
      </c>
      <c r="C15" s="16" t="s">
        <v>123</v>
      </c>
      <c r="D15" s="17" t="s">
        <v>124</v>
      </c>
      <c r="E15" s="16" t="s">
        <v>299</v>
      </c>
      <c r="F15" s="17" t="s">
        <v>300</v>
      </c>
      <c r="G15" s="17" t="s">
        <v>301</v>
      </c>
      <c r="H15" s="17" t="s">
        <v>285</v>
      </c>
      <c r="I15" s="17" t="s">
        <v>23</v>
      </c>
      <c r="J15" s="17" t="s">
        <v>302</v>
      </c>
    </row>
    <row r="16" customFormat="false" ht="36" hidden="false" customHeight="true" outlineLevel="0" collapsed="false">
      <c r="A16" s="16" t="s">
        <v>42</v>
      </c>
      <c r="B16" s="17" t="s">
        <v>43</v>
      </c>
      <c r="C16" s="16" t="s">
        <v>123</v>
      </c>
      <c r="D16" s="17" t="s">
        <v>124</v>
      </c>
      <c r="E16" s="16" t="s">
        <v>303</v>
      </c>
      <c r="F16" s="17" t="s">
        <v>304</v>
      </c>
      <c r="G16" s="17" t="s">
        <v>305</v>
      </c>
      <c r="H16" s="17" t="s">
        <v>285</v>
      </c>
      <c r="I16" s="17" t="s">
        <v>23</v>
      </c>
      <c r="J16" s="17" t="s">
        <v>306</v>
      </c>
    </row>
    <row r="17" customFormat="false" ht="36" hidden="false" customHeight="true" outlineLevel="0" collapsed="false">
      <c r="A17" s="14" t="s">
        <v>42</v>
      </c>
      <c r="B17" s="15" t="s">
        <v>43</v>
      </c>
      <c r="C17" s="14" t="s">
        <v>126</v>
      </c>
      <c r="D17" s="15" t="s">
        <v>127</v>
      </c>
      <c r="E17" s="14" t="s">
        <v>307</v>
      </c>
      <c r="F17" s="15" t="s">
        <v>308</v>
      </c>
      <c r="G17" s="15" t="s">
        <v>309</v>
      </c>
      <c r="H17" s="15" t="s">
        <v>248</v>
      </c>
      <c r="I17" s="15" t="s">
        <v>22</v>
      </c>
      <c r="J17" s="15" t="s">
        <v>310</v>
      </c>
    </row>
    <row r="18" customFormat="false" ht="36" hidden="false" customHeight="true" outlineLevel="0" collapsed="false">
      <c r="A18" s="16" t="s">
        <v>42</v>
      </c>
      <c r="B18" s="17" t="s">
        <v>43</v>
      </c>
      <c r="C18" s="16" t="s">
        <v>129</v>
      </c>
      <c r="D18" s="17" t="s">
        <v>130</v>
      </c>
      <c r="E18" s="16" t="s">
        <v>311</v>
      </c>
      <c r="F18" s="17" t="s">
        <v>312</v>
      </c>
      <c r="G18" s="17" t="s">
        <v>313</v>
      </c>
      <c r="H18" s="17" t="s">
        <v>285</v>
      </c>
      <c r="I18" s="17" t="s">
        <v>23</v>
      </c>
      <c r="J18" s="17" t="s">
        <v>314</v>
      </c>
    </row>
    <row r="19" customFormat="false" ht="36" hidden="false" customHeight="true" outlineLevel="0" collapsed="false">
      <c r="A19" s="16" t="s">
        <v>42</v>
      </c>
      <c r="B19" s="17" t="s">
        <v>43</v>
      </c>
      <c r="C19" s="16" t="s">
        <v>129</v>
      </c>
      <c r="D19" s="17" t="s">
        <v>130</v>
      </c>
      <c r="E19" s="16" t="s">
        <v>315</v>
      </c>
      <c r="F19" s="17" t="s">
        <v>316</v>
      </c>
      <c r="G19" s="17" t="s">
        <v>317</v>
      </c>
      <c r="H19" s="17" t="s">
        <v>285</v>
      </c>
      <c r="I19" s="17" t="s">
        <v>23</v>
      </c>
      <c r="J19" s="17" t="s">
        <v>318</v>
      </c>
    </row>
    <row r="20" customFormat="false" ht="36" hidden="false" customHeight="true" outlineLevel="0" collapsed="false">
      <c r="A20" s="16" t="s">
        <v>47</v>
      </c>
      <c r="B20" s="17" t="s">
        <v>48</v>
      </c>
      <c r="C20" s="16" t="s">
        <v>132</v>
      </c>
      <c r="D20" s="17" t="s">
        <v>133</v>
      </c>
      <c r="E20" s="16" t="s">
        <v>319</v>
      </c>
      <c r="F20" s="17" t="s">
        <v>320</v>
      </c>
      <c r="G20" s="17" t="s">
        <v>321</v>
      </c>
      <c r="H20" s="17" t="s">
        <v>322</v>
      </c>
      <c r="I20" s="17" t="s">
        <v>23</v>
      </c>
      <c r="J20" s="17" t="s">
        <v>323</v>
      </c>
    </row>
    <row r="21" customFormat="false" ht="36" hidden="false" customHeight="true" outlineLevel="0" collapsed="false">
      <c r="A21" s="16" t="s">
        <v>47</v>
      </c>
      <c r="B21" s="17" t="s">
        <v>48</v>
      </c>
      <c r="C21" s="16" t="s">
        <v>132</v>
      </c>
      <c r="D21" s="17" t="s">
        <v>133</v>
      </c>
      <c r="E21" s="16" t="s">
        <v>324</v>
      </c>
      <c r="F21" s="17" t="s">
        <v>325</v>
      </c>
      <c r="G21" s="17" t="s">
        <v>326</v>
      </c>
      <c r="H21" s="17" t="s">
        <v>322</v>
      </c>
      <c r="I21" s="17" t="s">
        <v>23</v>
      </c>
      <c r="J21" s="17" t="s">
        <v>327</v>
      </c>
    </row>
    <row r="22" customFormat="false" ht="36" hidden="false" customHeight="true" outlineLevel="0" collapsed="false">
      <c r="A22" s="16" t="s">
        <v>47</v>
      </c>
      <c r="B22" s="17" t="s">
        <v>48</v>
      </c>
      <c r="C22" s="16" t="s">
        <v>132</v>
      </c>
      <c r="D22" s="17" t="s">
        <v>133</v>
      </c>
      <c r="E22" s="16" t="s">
        <v>328</v>
      </c>
      <c r="F22" s="17" t="s">
        <v>329</v>
      </c>
      <c r="G22" s="17" t="s">
        <v>330</v>
      </c>
      <c r="H22" s="17" t="s">
        <v>322</v>
      </c>
      <c r="I22" s="17" t="s">
        <v>23</v>
      </c>
      <c r="J22" s="17" t="s">
        <v>331</v>
      </c>
    </row>
    <row r="23" customFormat="false" ht="36" hidden="false" customHeight="true" outlineLevel="0" collapsed="false">
      <c r="A23" s="18" t="s">
        <v>47</v>
      </c>
      <c r="B23" s="19" t="s">
        <v>48</v>
      </c>
      <c r="C23" s="18" t="s">
        <v>132</v>
      </c>
      <c r="D23" s="19" t="s">
        <v>133</v>
      </c>
      <c r="E23" s="18" t="s">
        <v>332</v>
      </c>
      <c r="F23" s="19" t="s">
        <v>333</v>
      </c>
      <c r="G23" s="19" t="s">
        <v>334</v>
      </c>
      <c r="H23" s="19" t="s">
        <v>322</v>
      </c>
      <c r="I23" s="19" t="s">
        <v>24</v>
      </c>
      <c r="J23" s="19" t="s">
        <v>335</v>
      </c>
    </row>
    <row r="24" customFormat="false" ht="36" hidden="false" customHeight="true" outlineLevel="0" collapsed="false">
      <c r="A24" s="14" t="s">
        <v>47</v>
      </c>
      <c r="B24" s="15" t="s">
        <v>48</v>
      </c>
      <c r="C24" s="14" t="s">
        <v>132</v>
      </c>
      <c r="D24" s="15" t="s">
        <v>133</v>
      </c>
      <c r="E24" s="14" t="s">
        <v>336</v>
      </c>
      <c r="F24" s="15" t="s">
        <v>337</v>
      </c>
      <c r="G24" s="15" t="s">
        <v>338</v>
      </c>
      <c r="H24" s="15" t="s">
        <v>322</v>
      </c>
      <c r="I24" s="15" t="s">
        <v>22</v>
      </c>
      <c r="J24" s="15" t="s">
        <v>339</v>
      </c>
    </row>
    <row r="25" customFormat="false" ht="36" hidden="false" customHeight="true" outlineLevel="0" collapsed="false">
      <c r="A25" s="16" t="s">
        <v>47</v>
      </c>
      <c r="B25" s="17" t="s">
        <v>48</v>
      </c>
      <c r="C25" s="16" t="s">
        <v>132</v>
      </c>
      <c r="D25" s="17" t="s">
        <v>133</v>
      </c>
      <c r="E25" s="16" t="s">
        <v>340</v>
      </c>
      <c r="F25" s="17" t="s">
        <v>341</v>
      </c>
      <c r="G25" s="17" t="s">
        <v>342</v>
      </c>
      <c r="H25" s="17" t="s">
        <v>322</v>
      </c>
      <c r="I25" s="17" t="s">
        <v>23</v>
      </c>
      <c r="J25" s="17" t="s">
        <v>343</v>
      </c>
    </row>
    <row r="26" customFormat="false" ht="36" hidden="false" customHeight="true" outlineLevel="0" collapsed="false">
      <c r="A26" s="18" t="s">
        <v>47</v>
      </c>
      <c r="B26" s="19" t="s">
        <v>48</v>
      </c>
      <c r="C26" s="18" t="s">
        <v>132</v>
      </c>
      <c r="D26" s="19" t="s">
        <v>133</v>
      </c>
      <c r="E26" s="18" t="s">
        <v>344</v>
      </c>
      <c r="F26" s="19" t="s">
        <v>345</v>
      </c>
      <c r="G26" s="19" t="s">
        <v>346</v>
      </c>
      <c r="H26" s="19" t="s">
        <v>322</v>
      </c>
      <c r="I26" s="19" t="s">
        <v>24</v>
      </c>
      <c r="J26" s="19" t="s">
        <v>347</v>
      </c>
    </row>
    <row r="27" customFormat="false" ht="36" hidden="false" customHeight="true" outlineLevel="0" collapsed="false">
      <c r="A27" s="18" t="s">
        <v>47</v>
      </c>
      <c r="B27" s="19" t="s">
        <v>48</v>
      </c>
      <c r="C27" s="18" t="s">
        <v>132</v>
      </c>
      <c r="D27" s="19" t="s">
        <v>133</v>
      </c>
      <c r="E27" s="18" t="s">
        <v>348</v>
      </c>
      <c r="F27" s="19" t="s">
        <v>349</v>
      </c>
      <c r="G27" s="19" t="s">
        <v>350</v>
      </c>
      <c r="H27" s="19" t="s">
        <v>322</v>
      </c>
      <c r="I27" s="19" t="s">
        <v>24</v>
      </c>
      <c r="J27" s="19" t="s">
        <v>351</v>
      </c>
    </row>
    <row r="28" customFormat="false" ht="36" hidden="false" customHeight="true" outlineLevel="0" collapsed="false">
      <c r="A28" s="16" t="s">
        <v>47</v>
      </c>
      <c r="B28" s="17" t="s">
        <v>48</v>
      </c>
      <c r="C28" s="16" t="s">
        <v>132</v>
      </c>
      <c r="D28" s="17" t="s">
        <v>133</v>
      </c>
      <c r="E28" s="16" t="s">
        <v>352</v>
      </c>
      <c r="F28" s="17" t="s">
        <v>353</v>
      </c>
      <c r="G28" s="17" t="s">
        <v>354</v>
      </c>
      <c r="H28" s="17" t="s">
        <v>322</v>
      </c>
      <c r="I28" s="17" t="s">
        <v>23</v>
      </c>
      <c r="J28" s="17" t="s">
        <v>355</v>
      </c>
    </row>
    <row r="29" customFormat="false" ht="36" hidden="false" customHeight="true" outlineLevel="0" collapsed="false">
      <c r="A29" s="18" t="s">
        <v>47</v>
      </c>
      <c r="B29" s="19" t="s">
        <v>48</v>
      </c>
      <c r="C29" s="18" t="s">
        <v>132</v>
      </c>
      <c r="D29" s="19" t="s">
        <v>133</v>
      </c>
      <c r="E29" s="18" t="s">
        <v>356</v>
      </c>
      <c r="F29" s="19" t="s">
        <v>357</v>
      </c>
      <c r="G29" s="19" t="s">
        <v>358</v>
      </c>
      <c r="H29" s="19" t="s">
        <v>322</v>
      </c>
      <c r="I29" s="19" t="s">
        <v>24</v>
      </c>
      <c r="J29" s="19" t="s">
        <v>359</v>
      </c>
    </row>
    <row r="30" customFormat="false" ht="36" hidden="false" customHeight="true" outlineLevel="0" collapsed="false">
      <c r="A30" s="14" t="s">
        <v>47</v>
      </c>
      <c r="B30" s="15" t="s">
        <v>48</v>
      </c>
      <c r="C30" s="14" t="s">
        <v>135</v>
      </c>
      <c r="D30" s="15" t="s">
        <v>136</v>
      </c>
      <c r="E30" s="14" t="s">
        <v>360</v>
      </c>
      <c r="F30" s="15" t="s">
        <v>361</v>
      </c>
      <c r="G30" s="15" t="s">
        <v>362</v>
      </c>
      <c r="H30" s="15" t="s">
        <v>322</v>
      </c>
      <c r="I30" s="15" t="s">
        <v>22</v>
      </c>
      <c r="J30" s="15" t="s">
        <v>363</v>
      </c>
    </row>
    <row r="31" customFormat="false" ht="36" hidden="false" customHeight="true" outlineLevel="0" collapsed="false">
      <c r="A31" s="16" t="s">
        <v>47</v>
      </c>
      <c r="B31" s="17" t="s">
        <v>48</v>
      </c>
      <c r="C31" s="16" t="s">
        <v>135</v>
      </c>
      <c r="D31" s="17" t="s">
        <v>136</v>
      </c>
      <c r="E31" s="16" t="s">
        <v>364</v>
      </c>
      <c r="F31" s="17" t="s">
        <v>365</v>
      </c>
      <c r="G31" s="17" t="s">
        <v>366</v>
      </c>
      <c r="H31" s="17" t="s">
        <v>322</v>
      </c>
      <c r="I31" s="17" t="s">
        <v>23</v>
      </c>
      <c r="J31" s="17" t="s">
        <v>367</v>
      </c>
    </row>
    <row r="32" customFormat="false" ht="36" hidden="false" customHeight="true" outlineLevel="0" collapsed="false">
      <c r="A32" s="14" t="s">
        <v>52</v>
      </c>
      <c r="B32" s="15" t="s">
        <v>53</v>
      </c>
      <c r="C32" s="14" t="s">
        <v>138</v>
      </c>
      <c r="D32" s="15" t="s">
        <v>139</v>
      </c>
      <c r="E32" s="14" t="s">
        <v>368</v>
      </c>
      <c r="F32" s="15" t="s">
        <v>369</v>
      </c>
      <c r="G32" s="15" t="s">
        <v>370</v>
      </c>
      <c r="H32" s="15" t="s">
        <v>248</v>
      </c>
      <c r="I32" s="15" t="s">
        <v>22</v>
      </c>
      <c r="J32" s="15" t="s">
        <v>371</v>
      </c>
    </row>
    <row r="33" customFormat="false" ht="36" hidden="false" customHeight="true" outlineLevel="0" collapsed="false">
      <c r="A33" s="16" t="s">
        <v>52</v>
      </c>
      <c r="B33" s="17" t="s">
        <v>53</v>
      </c>
      <c r="C33" s="16" t="s">
        <v>138</v>
      </c>
      <c r="D33" s="17" t="s">
        <v>139</v>
      </c>
      <c r="E33" s="16" t="s">
        <v>372</v>
      </c>
      <c r="F33" s="17" t="s">
        <v>373</v>
      </c>
      <c r="G33" s="17" t="s">
        <v>374</v>
      </c>
      <c r="H33" s="17" t="s">
        <v>248</v>
      </c>
      <c r="I33" s="17" t="s">
        <v>23</v>
      </c>
      <c r="J33" s="17" t="s">
        <v>375</v>
      </c>
    </row>
    <row r="34" customFormat="false" ht="36" hidden="false" customHeight="true" outlineLevel="0" collapsed="false">
      <c r="A34" s="14" t="s">
        <v>52</v>
      </c>
      <c r="B34" s="15" t="s">
        <v>53</v>
      </c>
      <c r="C34" s="14" t="s">
        <v>141</v>
      </c>
      <c r="D34" s="15" t="s">
        <v>142</v>
      </c>
      <c r="E34" s="14" t="s">
        <v>376</v>
      </c>
      <c r="F34" s="15" t="s">
        <v>377</v>
      </c>
      <c r="G34" s="15" t="s">
        <v>378</v>
      </c>
      <c r="H34" s="15" t="s">
        <v>248</v>
      </c>
      <c r="I34" s="15" t="s">
        <v>22</v>
      </c>
      <c r="J34" s="15" t="s">
        <v>379</v>
      </c>
    </row>
    <row r="35" customFormat="false" ht="36" hidden="false" customHeight="true" outlineLevel="0" collapsed="false">
      <c r="A35" s="16" t="s">
        <v>52</v>
      </c>
      <c r="B35" s="17" t="s">
        <v>53</v>
      </c>
      <c r="C35" s="16" t="s">
        <v>141</v>
      </c>
      <c r="D35" s="17" t="s">
        <v>142</v>
      </c>
      <c r="E35" s="16" t="s">
        <v>380</v>
      </c>
      <c r="F35" s="17" t="s">
        <v>381</v>
      </c>
      <c r="G35" s="17" t="s">
        <v>382</v>
      </c>
      <c r="H35" s="17" t="s">
        <v>248</v>
      </c>
      <c r="I35" s="17" t="s">
        <v>23</v>
      </c>
      <c r="J35" s="17" t="s">
        <v>383</v>
      </c>
    </row>
    <row r="36" customFormat="false" ht="36" hidden="false" customHeight="true" outlineLevel="0" collapsed="false">
      <c r="A36" s="16" t="s">
        <v>52</v>
      </c>
      <c r="B36" s="17" t="s">
        <v>53</v>
      </c>
      <c r="C36" s="16" t="s">
        <v>144</v>
      </c>
      <c r="D36" s="17" t="s">
        <v>145</v>
      </c>
      <c r="E36" s="16" t="s">
        <v>384</v>
      </c>
      <c r="F36" s="17" t="s">
        <v>385</v>
      </c>
      <c r="G36" s="17" t="s">
        <v>386</v>
      </c>
      <c r="H36" s="17" t="s">
        <v>248</v>
      </c>
      <c r="I36" s="17" t="s">
        <v>23</v>
      </c>
      <c r="J36" s="17" t="s">
        <v>387</v>
      </c>
    </row>
    <row r="37" customFormat="false" ht="36" hidden="false" customHeight="true" outlineLevel="0" collapsed="false">
      <c r="A37" s="14" t="s">
        <v>52</v>
      </c>
      <c r="B37" s="15" t="s">
        <v>53</v>
      </c>
      <c r="C37" s="14" t="s">
        <v>147</v>
      </c>
      <c r="D37" s="15" t="s">
        <v>148</v>
      </c>
      <c r="E37" s="14" t="s">
        <v>388</v>
      </c>
      <c r="F37" s="15" t="s">
        <v>389</v>
      </c>
      <c r="G37" s="15" t="s">
        <v>390</v>
      </c>
      <c r="H37" s="15" t="s">
        <v>391</v>
      </c>
      <c r="I37" s="15" t="s">
        <v>22</v>
      </c>
      <c r="J37" s="15" t="s">
        <v>392</v>
      </c>
    </row>
    <row r="38" customFormat="false" ht="36" hidden="false" customHeight="true" outlineLevel="0" collapsed="false">
      <c r="A38" s="16" t="s">
        <v>52</v>
      </c>
      <c r="B38" s="17" t="s">
        <v>53</v>
      </c>
      <c r="C38" s="16" t="s">
        <v>147</v>
      </c>
      <c r="D38" s="17" t="s">
        <v>148</v>
      </c>
      <c r="E38" s="16" t="s">
        <v>393</v>
      </c>
      <c r="F38" s="17" t="s">
        <v>394</v>
      </c>
      <c r="G38" s="17" t="s">
        <v>395</v>
      </c>
      <c r="H38" s="17" t="s">
        <v>391</v>
      </c>
      <c r="I38" s="17" t="s">
        <v>23</v>
      </c>
      <c r="J38" s="17" t="s">
        <v>396</v>
      </c>
    </row>
    <row r="39" customFormat="false" ht="36" hidden="false" customHeight="true" outlineLevel="0" collapsed="false">
      <c r="A39" s="16" t="s">
        <v>52</v>
      </c>
      <c r="B39" s="17" t="s">
        <v>53</v>
      </c>
      <c r="C39" s="16" t="s">
        <v>147</v>
      </c>
      <c r="D39" s="17" t="s">
        <v>148</v>
      </c>
      <c r="E39" s="16" t="s">
        <v>397</v>
      </c>
      <c r="F39" s="17" t="s">
        <v>398</v>
      </c>
      <c r="G39" s="17" t="s">
        <v>399</v>
      </c>
      <c r="H39" s="17" t="s">
        <v>391</v>
      </c>
      <c r="I39" s="17" t="s">
        <v>23</v>
      </c>
      <c r="J39" s="17" t="s">
        <v>400</v>
      </c>
    </row>
    <row r="40" customFormat="false" ht="36" hidden="false" customHeight="true" outlineLevel="0" collapsed="false">
      <c r="A40" s="14" t="s">
        <v>57</v>
      </c>
      <c r="B40" s="15" t="s">
        <v>58</v>
      </c>
      <c r="C40" s="14" t="s">
        <v>150</v>
      </c>
      <c r="D40" s="15" t="s">
        <v>151</v>
      </c>
      <c r="E40" s="14" t="s">
        <v>401</v>
      </c>
      <c r="F40" s="15" t="s">
        <v>402</v>
      </c>
      <c r="G40" s="15" t="s">
        <v>403</v>
      </c>
      <c r="H40" s="15" t="s">
        <v>391</v>
      </c>
      <c r="I40" s="15" t="s">
        <v>22</v>
      </c>
      <c r="J40" s="15" t="s">
        <v>404</v>
      </c>
    </row>
    <row r="41" customFormat="false" ht="36" hidden="false" customHeight="true" outlineLevel="0" collapsed="false">
      <c r="A41" s="16" t="s">
        <v>57</v>
      </c>
      <c r="B41" s="17" t="s">
        <v>58</v>
      </c>
      <c r="C41" s="16" t="s">
        <v>150</v>
      </c>
      <c r="D41" s="17" t="s">
        <v>151</v>
      </c>
      <c r="E41" s="16" t="s">
        <v>405</v>
      </c>
      <c r="F41" s="17" t="s">
        <v>406</v>
      </c>
      <c r="G41" s="17" t="s">
        <v>407</v>
      </c>
      <c r="H41" s="17" t="s">
        <v>391</v>
      </c>
      <c r="I41" s="17" t="s">
        <v>23</v>
      </c>
      <c r="J41" s="17" t="s">
        <v>408</v>
      </c>
    </row>
    <row r="42" customFormat="false" ht="36" hidden="false" customHeight="true" outlineLevel="0" collapsed="false">
      <c r="A42" s="18" t="s">
        <v>57</v>
      </c>
      <c r="B42" s="19" t="s">
        <v>58</v>
      </c>
      <c r="C42" s="18" t="s">
        <v>150</v>
      </c>
      <c r="D42" s="19" t="s">
        <v>151</v>
      </c>
      <c r="E42" s="18" t="s">
        <v>409</v>
      </c>
      <c r="F42" s="19" t="s">
        <v>410</v>
      </c>
      <c r="G42" s="19" t="s">
        <v>411</v>
      </c>
      <c r="H42" s="19" t="s">
        <v>391</v>
      </c>
      <c r="I42" s="19" t="s">
        <v>24</v>
      </c>
      <c r="J42" s="19" t="s">
        <v>412</v>
      </c>
    </row>
    <row r="43" customFormat="false" ht="36" hidden="false" customHeight="true" outlineLevel="0" collapsed="false">
      <c r="A43" s="16" t="s">
        <v>57</v>
      </c>
      <c r="B43" s="17" t="s">
        <v>58</v>
      </c>
      <c r="C43" s="16" t="s">
        <v>153</v>
      </c>
      <c r="D43" s="17" t="s">
        <v>154</v>
      </c>
      <c r="E43" s="16" t="s">
        <v>413</v>
      </c>
      <c r="F43" s="17" t="s">
        <v>414</v>
      </c>
      <c r="G43" s="17" t="s">
        <v>415</v>
      </c>
      <c r="H43" s="17" t="s">
        <v>391</v>
      </c>
      <c r="I43" s="17" t="s">
        <v>23</v>
      </c>
      <c r="J43" s="17" t="s">
        <v>416</v>
      </c>
    </row>
    <row r="44" customFormat="false" ht="36" hidden="false" customHeight="true" outlineLevel="0" collapsed="false">
      <c r="A44" s="18" t="s">
        <v>57</v>
      </c>
      <c r="B44" s="19" t="s">
        <v>58</v>
      </c>
      <c r="C44" s="18" t="s">
        <v>153</v>
      </c>
      <c r="D44" s="19" t="s">
        <v>154</v>
      </c>
      <c r="E44" s="18" t="s">
        <v>417</v>
      </c>
      <c r="F44" s="19" t="s">
        <v>418</v>
      </c>
      <c r="G44" s="19" t="s">
        <v>419</v>
      </c>
      <c r="H44" s="19" t="s">
        <v>391</v>
      </c>
      <c r="I44" s="19" t="s">
        <v>24</v>
      </c>
      <c r="J44" s="19" t="s">
        <v>420</v>
      </c>
    </row>
    <row r="45" customFormat="false" ht="36" hidden="false" customHeight="true" outlineLevel="0" collapsed="false">
      <c r="A45" s="14" t="s">
        <v>57</v>
      </c>
      <c r="B45" s="15" t="s">
        <v>58</v>
      </c>
      <c r="C45" s="14" t="s">
        <v>156</v>
      </c>
      <c r="D45" s="15" t="s">
        <v>157</v>
      </c>
      <c r="E45" s="14" t="s">
        <v>421</v>
      </c>
      <c r="F45" s="15" t="s">
        <v>422</v>
      </c>
      <c r="G45" s="15" t="s">
        <v>423</v>
      </c>
      <c r="H45" s="15" t="s">
        <v>391</v>
      </c>
      <c r="I45" s="15" t="s">
        <v>22</v>
      </c>
      <c r="J45" s="15" t="s">
        <v>424</v>
      </c>
    </row>
    <row r="46" customFormat="false" ht="36" hidden="false" customHeight="true" outlineLevel="0" collapsed="false">
      <c r="A46" s="16" t="s">
        <v>57</v>
      </c>
      <c r="B46" s="17" t="s">
        <v>58</v>
      </c>
      <c r="C46" s="16" t="s">
        <v>159</v>
      </c>
      <c r="D46" s="17" t="s">
        <v>160</v>
      </c>
      <c r="E46" s="16" t="s">
        <v>425</v>
      </c>
      <c r="F46" s="17" t="s">
        <v>426</v>
      </c>
      <c r="G46" s="17" t="s">
        <v>427</v>
      </c>
      <c r="H46" s="17" t="s">
        <v>391</v>
      </c>
      <c r="I46" s="17" t="s">
        <v>23</v>
      </c>
      <c r="J46" s="17" t="s">
        <v>428</v>
      </c>
    </row>
    <row r="47" customFormat="false" ht="36" hidden="false" customHeight="true" outlineLevel="0" collapsed="false">
      <c r="A47" s="18" t="s">
        <v>57</v>
      </c>
      <c r="B47" s="19" t="s">
        <v>58</v>
      </c>
      <c r="C47" s="18" t="s">
        <v>159</v>
      </c>
      <c r="D47" s="19" t="s">
        <v>160</v>
      </c>
      <c r="E47" s="18" t="s">
        <v>429</v>
      </c>
      <c r="F47" s="19" t="s">
        <v>430</v>
      </c>
      <c r="G47" s="19" t="s">
        <v>431</v>
      </c>
      <c r="H47" s="19" t="s">
        <v>391</v>
      </c>
      <c r="I47" s="19" t="s">
        <v>24</v>
      </c>
      <c r="J47" s="19" t="s">
        <v>432</v>
      </c>
    </row>
    <row r="48" customFormat="false" ht="36" hidden="false" customHeight="true" outlineLevel="0" collapsed="false">
      <c r="A48" s="14" t="s">
        <v>62</v>
      </c>
      <c r="B48" s="15" t="s">
        <v>63</v>
      </c>
      <c r="C48" s="14" t="s">
        <v>162</v>
      </c>
      <c r="D48" s="15" t="s">
        <v>163</v>
      </c>
      <c r="E48" s="14" t="s">
        <v>433</v>
      </c>
      <c r="F48" s="15" t="s">
        <v>434</v>
      </c>
      <c r="G48" s="15" t="s">
        <v>435</v>
      </c>
      <c r="H48" s="15" t="s">
        <v>248</v>
      </c>
      <c r="I48" s="15" t="s">
        <v>22</v>
      </c>
      <c r="J48" s="15" t="s">
        <v>436</v>
      </c>
    </row>
    <row r="49" customFormat="false" ht="36" hidden="false" customHeight="true" outlineLevel="0" collapsed="false">
      <c r="A49" s="16" t="s">
        <v>62</v>
      </c>
      <c r="B49" s="17" t="s">
        <v>63</v>
      </c>
      <c r="C49" s="16" t="s">
        <v>162</v>
      </c>
      <c r="D49" s="17" t="s">
        <v>163</v>
      </c>
      <c r="E49" s="16" t="s">
        <v>437</v>
      </c>
      <c r="F49" s="17" t="s">
        <v>438</v>
      </c>
      <c r="G49" s="17" t="s">
        <v>439</v>
      </c>
      <c r="H49" s="17" t="s">
        <v>248</v>
      </c>
      <c r="I49" s="17" t="s">
        <v>23</v>
      </c>
      <c r="J49" s="17" t="s">
        <v>440</v>
      </c>
    </row>
    <row r="50" customFormat="false" ht="36" hidden="false" customHeight="true" outlineLevel="0" collapsed="false">
      <c r="A50" s="14" t="s">
        <v>62</v>
      </c>
      <c r="B50" s="15" t="s">
        <v>63</v>
      </c>
      <c r="C50" s="14" t="s">
        <v>162</v>
      </c>
      <c r="D50" s="15" t="s">
        <v>163</v>
      </c>
      <c r="E50" s="14" t="s">
        <v>441</v>
      </c>
      <c r="F50" s="15" t="s">
        <v>442</v>
      </c>
      <c r="G50" s="15" t="s">
        <v>443</v>
      </c>
      <c r="H50" s="15" t="s">
        <v>248</v>
      </c>
      <c r="I50" s="15" t="s">
        <v>22</v>
      </c>
      <c r="J50" s="15" t="s">
        <v>444</v>
      </c>
    </row>
    <row r="51" customFormat="false" ht="36" hidden="false" customHeight="true" outlineLevel="0" collapsed="false">
      <c r="A51" s="16" t="s">
        <v>62</v>
      </c>
      <c r="B51" s="17" t="s">
        <v>63</v>
      </c>
      <c r="C51" s="16" t="s">
        <v>165</v>
      </c>
      <c r="D51" s="17" t="s">
        <v>166</v>
      </c>
      <c r="E51" s="16" t="s">
        <v>445</v>
      </c>
      <c r="F51" s="17" t="s">
        <v>446</v>
      </c>
      <c r="G51" s="17" t="s">
        <v>447</v>
      </c>
      <c r="H51" s="17" t="s">
        <v>248</v>
      </c>
      <c r="I51" s="17" t="s">
        <v>23</v>
      </c>
      <c r="J51" s="17" t="s">
        <v>448</v>
      </c>
    </row>
    <row r="52" customFormat="false" ht="36" hidden="false" customHeight="true" outlineLevel="0" collapsed="false">
      <c r="A52" s="18" t="s">
        <v>62</v>
      </c>
      <c r="B52" s="19" t="s">
        <v>63</v>
      </c>
      <c r="C52" s="18" t="s">
        <v>168</v>
      </c>
      <c r="D52" s="19" t="s">
        <v>169</v>
      </c>
      <c r="E52" s="18" t="s">
        <v>449</v>
      </c>
      <c r="F52" s="19" t="s">
        <v>450</v>
      </c>
      <c r="G52" s="19" t="s">
        <v>451</v>
      </c>
      <c r="H52" s="19" t="s">
        <v>248</v>
      </c>
      <c r="I52" s="19" t="s">
        <v>24</v>
      </c>
      <c r="J52" s="19" t="s">
        <v>452</v>
      </c>
    </row>
    <row r="53" customFormat="false" ht="36" hidden="false" customHeight="true" outlineLevel="0" collapsed="false">
      <c r="A53" s="16" t="s">
        <v>67</v>
      </c>
      <c r="B53" s="17" t="s">
        <v>68</v>
      </c>
      <c r="C53" s="16" t="s">
        <v>171</v>
      </c>
      <c r="D53" s="17" t="s">
        <v>172</v>
      </c>
      <c r="E53" s="16" t="s">
        <v>453</v>
      </c>
      <c r="F53" s="17" t="s">
        <v>454</v>
      </c>
      <c r="G53" s="17" t="s">
        <v>455</v>
      </c>
      <c r="H53" s="17" t="s">
        <v>248</v>
      </c>
      <c r="I53" s="17" t="s">
        <v>23</v>
      </c>
      <c r="J53" s="17" t="s">
        <v>456</v>
      </c>
    </row>
    <row r="54" customFormat="false" ht="36" hidden="false" customHeight="true" outlineLevel="0" collapsed="false">
      <c r="A54" s="18" t="s">
        <v>67</v>
      </c>
      <c r="B54" s="19" t="s">
        <v>68</v>
      </c>
      <c r="C54" s="18" t="s">
        <v>174</v>
      </c>
      <c r="D54" s="19" t="s">
        <v>175</v>
      </c>
      <c r="E54" s="18" t="s">
        <v>457</v>
      </c>
      <c r="F54" s="19" t="s">
        <v>458</v>
      </c>
      <c r="G54" s="19" t="s">
        <v>459</v>
      </c>
      <c r="H54" s="19" t="s">
        <v>248</v>
      </c>
      <c r="I54" s="19" t="s">
        <v>24</v>
      </c>
      <c r="J54" s="19" t="s">
        <v>460</v>
      </c>
    </row>
    <row r="55" customFormat="false" ht="36" hidden="false" customHeight="true" outlineLevel="0" collapsed="false">
      <c r="A55" s="16" t="s">
        <v>67</v>
      </c>
      <c r="B55" s="17" t="s">
        <v>68</v>
      </c>
      <c r="C55" s="16" t="s">
        <v>174</v>
      </c>
      <c r="D55" s="17" t="s">
        <v>175</v>
      </c>
      <c r="E55" s="16" t="s">
        <v>461</v>
      </c>
      <c r="F55" s="17" t="s">
        <v>462</v>
      </c>
      <c r="G55" s="17" t="s">
        <v>463</v>
      </c>
      <c r="H55" s="17" t="s">
        <v>248</v>
      </c>
      <c r="I55" s="17" t="s">
        <v>23</v>
      </c>
      <c r="J55" s="17" t="s">
        <v>464</v>
      </c>
    </row>
    <row r="56" customFormat="false" ht="36" hidden="false" customHeight="true" outlineLevel="0" collapsed="false">
      <c r="A56" s="16" t="s">
        <v>67</v>
      </c>
      <c r="B56" s="17" t="s">
        <v>68</v>
      </c>
      <c r="C56" s="16" t="s">
        <v>177</v>
      </c>
      <c r="D56" s="17" t="s">
        <v>178</v>
      </c>
      <c r="E56" s="16" t="s">
        <v>465</v>
      </c>
      <c r="F56" s="17" t="s">
        <v>466</v>
      </c>
      <c r="G56" s="17" t="s">
        <v>467</v>
      </c>
      <c r="H56" s="17" t="s">
        <v>248</v>
      </c>
      <c r="I56" s="17" t="s">
        <v>23</v>
      </c>
      <c r="J56" s="17" t="s">
        <v>468</v>
      </c>
    </row>
    <row r="57" customFormat="false" ht="36" hidden="false" customHeight="true" outlineLevel="0" collapsed="false">
      <c r="A57" s="16" t="s">
        <v>72</v>
      </c>
      <c r="B57" s="17" t="s">
        <v>73</v>
      </c>
      <c r="C57" s="16" t="s">
        <v>180</v>
      </c>
      <c r="D57" s="17" t="s">
        <v>181</v>
      </c>
      <c r="E57" s="16" t="s">
        <v>469</v>
      </c>
      <c r="F57" s="17" t="s">
        <v>470</v>
      </c>
      <c r="G57" s="17" t="s">
        <v>471</v>
      </c>
      <c r="H57" s="17" t="s">
        <v>248</v>
      </c>
      <c r="I57" s="17" t="s">
        <v>23</v>
      </c>
      <c r="J57" s="17" t="s">
        <v>472</v>
      </c>
    </row>
    <row r="58" customFormat="false" ht="36" hidden="false" customHeight="true" outlineLevel="0" collapsed="false">
      <c r="A58" s="16" t="s">
        <v>72</v>
      </c>
      <c r="B58" s="17" t="s">
        <v>73</v>
      </c>
      <c r="C58" s="16" t="s">
        <v>183</v>
      </c>
      <c r="D58" s="17" t="s">
        <v>184</v>
      </c>
      <c r="E58" s="16" t="s">
        <v>473</v>
      </c>
      <c r="F58" s="17" t="s">
        <v>474</v>
      </c>
      <c r="G58" s="17" t="s">
        <v>475</v>
      </c>
      <c r="H58" s="17" t="s">
        <v>248</v>
      </c>
      <c r="I58" s="17" t="s">
        <v>23</v>
      </c>
      <c r="J58" s="17" t="s">
        <v>476</v>
      </c>
    </row>
    <row r="59" customFormat="false" ht="36" hidden="false" customHeight="true" outlineLevel="0" collapsed="false">
      <c r="A59" s="18" t="s">
        <v>72</v>
      </c>
      <c r="B59" s="19" t="s">
        <v>73</v>
      </c>
      <c r="C59" s="18" t="s">
        <v>183</v>
      </c>
      <c r="D59" s="19" t="s">
        <v>184</v>
      </c>
      <c r="E59" s="18" t="s">
        <v>477</v>
      </c>
      <c r="F59" s="19" t="s">
        <v>478</v>
      </c>
      <c r="G59" s="19" t="s">
        <v>479</v>
      </c>
      <c r="H59" s="19" t="s">
        <v>248</v>
      </c>
      <c r="I59" s="19" t="s">
        <v>24</v>
      </c>
      <c r="J59" s="19" t="s">
        <v>480</v>
      </c>
    </row>
    <row r="60" customFormat="false" ht="36" hidden="false" customHeight="true" outlineLevel="0" collapsed="false">
      <c r="A60" s="16" t="s">
        <v>77</v>
      </c>
      <c r="B60" s="17" t="s">
        <v>78</v>
      </c>
      <c r="C60" s="16" t="s">
        <v>186</v>
      </c>
      <c r="D60" s="17" t="s">
        <v>187</v>
      </c>
      <c r="E60" s="16" t="s">
        <v>481</v>
      </c>
      <c r="F60" s="17" t="s">
        <v>482</v>
      </c>
      <c r="G60" s="17" t="s">
        <v>483</v>
      </c>
      <c r="H60" s="17" t="s">
        <v>248</v>
      </c>
      <c r="I60" s="17" t="s">
        <v>23</v>
      </c>
      <c r="J60" s="17" t="s">
        <v>484</v>
      </c>
    </row>
    <row r="61" customFormat="false" ht="36" hidden="false" customHeight="true" outlineLevel="0" collapsed="false">
      <c r="A61" s="16" t="s">
        <v>77</v>
      </c>
      <c r="B61" s="17" t="s">
        <v>78</v>
      </c>
      <c r="C61" s="16" t="s">
        <v>186</v>
      </c>
      <c r="D61" s="17" t="s">
        <v>187</v>
      </c>
      <c r="E61" s="16" t="s">
        <v>485</v>
      </c>
      <c r="F61" s="17" t="s">
        <v>486</v>
      </c>
      <c r="G61" s="17" t="s">
        <v>487</v>
      </c>
      <c r="H61" s="17" t="s">
        <v>248</v>
      </c>
      <c r="I61" s="17" t="s">
        <v>23</v>
      </c>
      <c r="J61" s="17" t="s">
        <v>488</v>
      </c>
    </row>
    <row r="62" customFormat="false" ht="36" hidden="false" customHeight="true" outlineLevel="0" collapsed="false">
      <c r="A62" s="18" t="s">
        <v>77</v>
      </c>
      <c r="B62" s="19" t="s">
        <v>78</v>
      </c>
      <c r="C62" s="18" t="s">
        <v>186</v>
      </c>
      <c r="D62" s="19" t="s">
        <v>187</v>
      </c>
      <c r="E62" s="18" t="s">
        <v>489</v>
      </c>
      <c r="F62" s="19" t="s">
        <v>490</v>
      </c>
      <c r="G62" s="19" t="s">
        <v>491</v>
      </c>
      <c r="H62" s="19" t="s">
        <v>248</v>
      </c>
      <c r="I62" s="19" t="s">
        <v>24</v>
      </c>
      <c r="J62" s="19" t="s">
        <v>492</v>
      </c>
    </row>
    <row r="63" customFormat="false" ht="36" hidden="false" customHeight="true" outlineLevel="0" collapsed="false">
      <c r="A63" s="18" t="s">
        <v>77</v>
      </c>
      <c r="B63" s="19" t="s">
        <v>78</v>
      </c>
      <c r="C63" s="18" t="s">
        <v>189</v>
      </c>
      <c r="D63" s="19" t="s">
        <v>190</v>
      </c>
      <c r="E63" s="18" t="s">
        <v>493</v>
      </c>
      <c r="F63" s="19" t="s">
        <v>494</v>
      </c>
      <c r="G63" s="19" t="s">
        <v>495</v>
      </c>
      <c r="H63" s="19" t="s">
        <v>248</v>
      </c>
      <c r="I63" s="19" t="s">
        <v>24</v>
      </c>
      <c r="J63" s="19" t="s">
        <v>496</v>
      </c>
    </row>
    <row r="64" customFormat="false" ht="36" hidden="false" customHeight="true" outlineLevel="0" collapsed="false">
      <c r="A64" s="16" t="s">
        <v>82</v>
      </c>
      <c r="B64" s="17" t="s">
        <v>83</v>
      </c>
      <c r="C64" s="16" t="s">
        <v>192</v>
      </c>
      <c r="D64" s="17" t="s">
        <v>193</v>
      </c>
      <c r="E64" s="16" t="s">
        <v>497</v>
      </c>
      <c r="F64" s="17" t="s">
        <v>498</v>
      </c>
      <c r="G64" s="17" t="s">
        <v>499</v>
      </c>
      <c r="H64" s="17" t="s">
        <v>248</v>
      </c>
      <c r="I64" s="17" t="s">
        <v>23</v>
      </c>
      <c r="J64" s="17" t="s">
        <v>500</v>
      </c>
    </row>
    <row r="65" customFormat="false" ht="36" hidden="false" customHeight="true" outlineLevel="0" collapsed="false">
      <c r="A65" s="16" t="s">
        <v>82</v>
      </c>
      <c r="B65" s="17" t="s">
        <v>83</v>
      </c>
      <c r="C65" s="16" t="s">
        <v>195</v>
      </c>
      <c r="D65" s="17" t="s">
        <v>196</v>
      </c>
      <c r="E65" s="16" t="s">
        <v>501</v>
      </c>
      <c r="F65" s="17" t="s">
        <v>502</v>
      </c>
      <c r="G65" s="17" t="s">
        <v>503</v>
      </c>
      <c r="H65" s="17" t="s">
        <v>248</v>
      </c>
      <c r="I65" s="17" t="s">
        <v>23</v>
      </c>
      <c r="J65" s="17" t="s">
        <v>504</v>
      </c>
    </row>
    <row r="66" customFormat="false" ht="36" hidden="false" customHeight="true" outlineLevel="0" collapsed="false">
      <c r="A66" s="16" t="s">
        <v>82</v>
      </c>
      <c r="B66" s="17" t="s">
        <v>83</v>
      </c>
      <c r="C66" s="16" t="s">
        <v>195</v>
      </c>
      <c r="D66" s="17" t="s">
        <v>196</v>
      </c>
      <c r="E66" s="16" t="s">
        <v>505</v>
      </c>
      <c r="F66" s="17" t="s">
        <v>506</v>
      </c>
      <c r="G66" s="17" t="s">
        <v>507</v>
      </c>
      <c r="H66" s="17" t="s">
        <v>248</v>
      </c>
      <c r="I66" s="17" t="s">
        <v>23</v>
      </c>
      <c r="J66" s="17" t="s">
        <v>508</v>
      </c>
    </row>
    <row r="67" customFormat="false" ht="36" hidden="false" customHeight="true" outlineLevel="0" collapsed="false">
      <c r="A67" s="18" t="s">
        <v>82</v>
      </c>
      <c r="B67" s="19" t="s">
        <v>83</v>
      </c>
      <c r="C67" s="18" t="s">
        <v>198</v>
      </c>
      <c r="D67" s="19" t="s">
        <v>199</v>
      </c>
      <c r="E67" s="18" t="s">
        <v>509</v>
      </c>
      <c r="F67" s="19" t="s">
        <v>510</v>
      </c>
      <c r="G67" s="19" t="s">
        <v>511</v>
      </c>
      <c r="H67" s="19" t="s">
        <v>248</v>
      </c>
      <c r="I67" s="19" t="s">
        <v>24</v>
      </c>
      <c r="J67" s="19" t="s">
        <v>512</v>
      </c>
    </row>
    <row r="68" customFormat="false" ht="36" hidden="false" customHeight="true" outlineLevel="0" collapsed="false">
      <c r="A68" s="16" t="s">
        <v>82</v>
      </c>
      <c r="B68" s="17" t="s">
        <v>83</v>
      </c>
      <c r="C68" s="16" t="s">
        <v>201</v>
      </c>
      <c r="D68" s="17" t="s">
        <v>202</v>
      </c>
      <c r="E68" s="16" t="s">
        <v>513</v>
      </c>
      <c r="F68" s="17" t="s">
        <v>514</v>
      </c>
      <c r="G68" s="17" t="s">
        <v>515</v>
      </c>
      <c r="H68" s="17" t="s">
        <v>248</v>
      </c>
      <c r="I68" s="17" t="s">
        <v>23</v>
      </c>
      <c r="J68" s="17" t="s">
        <v>516</v>
      </c>
    </row>
    <row r="69" customFormat="false" ht="36" hidden="false" customHeight="true" outlineLevel="0" collapsed="false">
      <c r="A69" s="18" t="s">
        <v>82</v>
      </c>
      <c r="B69" s="19" t="s">
        <v>83</v>
      </c>
      <c r="C69" s="18" t="s">
        <v>204</v>
      </c>
      <c r="D69" s="19" t="s">
        <v>205</v>
      </c>
      <c r="E69" s="18" t="s">
        <v>517</v>
      </c>
      <c r="F69" s="19" t="s">
        <v>518</v>
      </c>
      <c r="G69" s="19" t="s">
        <v>519</v>
      </c>
      <c r="H69" s="19" t="s">
        <v>248</v>
      </c>
      <c r="I69" s="19" t="s">
        <v>24</v>
      </c>
      <c r="J69" s="19" t="s">
        <v>520</v>
      </c>
    </row>
    <row r="70" customFormat="false" ht="36" hidden="false" customHeight="true" outlineLevel="0" collapsed="false">
      <c r="A70" s="16" t="s">
        <v>87</v>
      </c>
      <c r="B70" s="17" t="s">
        <v>88</v>
      </c>
      <c r="C70" s="16" t="s">
        <v>207</v>
      </c>
      <c r="D70" s="17" t="s">
        <v>208</v>
      </c>
      <c r="E70" s="16" t="s">
        <v>521</v>
      </c>
      <c r="F70" s="17" t="s">
        <v>522</v>
      </c>
      <c r="G70" s="17" t="s">
        <v>523</v>
      </c>
      <c r="H70" s="17" t="s">
        <v>248</v>
      </c>
      <c r="I70" s="17" t="s">
        <v>23</v>
      </c>
      <c r="J70" s="17" t="s">
        <v>524</v>
      </c>
    </row>
    <row r="71" customFormat="false" ht="36" hidden="false" customHeight="true" outlineLevel="0" collapsed="false">
      <c r="A71" s="18" t="s">
        <v>87</v>
      </c>
      <c r="B71" s="19" t="s">
        <v>88</v>
      </c>
      <c r="C71" s="18" t="s">
        <v>207</v>
      </c>
      <c r="D71" s="19" t="s">
        <v>208</v>
      </c>
      <c r="E71" s="18" t="s">
        <v>525</v>
      </c>
      <c r="F71" s="19" t="s">
        <v>526</v>
      </c>
      <c r="G71" s="19" t="s">
        <v>527</v>
      </c>
      <c r="H71" s="19" t="s">
        <v>285</v>
      </c>
      <c r="I71" s="19" t="s">
        <v>24</v>
      </c>
      <c r="J71" s="19" t="s">
        <v>528</v>
      </c>
    </row>
    <row r="72" customFormat="false" ht="36" hidden="false" customHeight="true" outlineLevel="0" collapsed="false">
      <c r="A72" s="16" t="s">
        <v>87</v>
      </c>
      <c r="B72" s="17" t="s">
        <v>88</v>
      </c>
      <c r="C72" s="16" t="s">
        <v>210</v>
      </c>
      <c r="D72" s="17" t="s">
        <v>211</v>
      </c>
      <c r="E72" s="16" t="s">
        <v>529</v>
      </c>
      <c r="F72" s="17" t="s">
        <v>530</v>
      </c>
      <c r="G72" s="17" t="s">
        <v>531</v>
      </c>
      <c r="H72" s="17" t="s">
        <v>248</v>
      </c>
      <c r="I72" s="17" t="s">
        <v>23</v>
      </c>
      <c r="J72" s="17" t="s">
        <v>532</v>
      </c>
    </row>
    <row r="73" customFormat="false" ht="36" hidden="false" customHeight="true" outlineLevel="0" collapsed="false">
      <c r="A73" s="16" t="s">
        <v>87</v>
      </c>
      <c r="B73" s="17" t="s">
        <v>88</v>
      </c>
      <c r="C73" s="16" t="s">
        <v>213</v>
      </c>
      <c r="D73" s="17" t="s">
        <v>214</v>
      </c>
      <c r="E73" s="16" t="s">
        <v>533</v>
      </c>
      <c r="F73" s="17" t="s">
        <v>534</v>
      </c>
      <c r="G73" s="17" t="s">
        <v>535</v>
      </c>
      <c r="H73" s="17" t="s">
        <v>248</v>
      </c>
      <c r="I73" s="17" t="s">
        <v>23</v>
      </c>
      <c r="J73" s="17" t="s">
        <v>536</v>
      </c>
    </row>
    <row r="74" customFormat="false" ht="36" hidden="false" customHeight="true" outlineLevel="0" collapsed="false">
      <c r="A74" s="18" t="s">
        <v>87</v>
      </c>
      <c r="B74" s="19" t="s">
        <v>88</v>
      </c>
      <c r="C74" s="18" t="s">
        <v>213</v>
      </c>
      <c r="D74" s="19" t="s">
        <v>214</v>
      </c>
      <c r="E74" s="18" t="s">
        <v>537</v>
      </c>
      <c r="F74" s="19" t="s">
        <v>538</v>
      </c>
      <c r="G74" s="19" t="s">
        <v>539</v>
      </c>
      <c r="H74" s="19" t="s">
        <v>248</v>
      </c>
      <c r="I74" s="19" t="s">
        <v>24</v>
      </c>
      <c r="J74" s="19" t="s">
        <v>540</v>
      </c>
    </row>
    <row r="75" customFormat="false" ht="36" hidden="false" customHeight="true" outlineLevel="0" collapsed="false">
      <c r="A75" s="16" t="s">
        <v>87</v>
      </c>
      <c r="B75" s="17" t="s">
        <v>88</v>
      </c>
      <c r="C75" s="16" t="s">
        <v>216</v>
      </c>
      <c r="D75" s="17" t="s">
        <v>217</v>
      </c>
      <c r="E75" s="16" t="s">
        <v>541</v>
      </c>
      <c r="F75" s="17" t="s">
        <v>542</v>
      </c>
      <c r="G75" s="17" t="s">
        <v>543</v>
      </c>
      <c r="H75" s="17" t="s">
        <v>248</v>
      </c>
      <c r="I75" s="17" t="s">
        <v>23</v>
      </c>
      <c r="J75" s="17" t="s">
        <v>544</v>
      </c>
    </row>
    <row r="76" customFormat="false" ht="36" hidden="false" customHeight="true" outlineLevel="0" collapsed="false">
      <c r="A76" s="20" t="s">
        <v>87</v>
      </c>
      <c r="B76" s="21" t="s">
        <v>88</v>
      </c>
      <c r="C76" s="20" t="s">
        <v>219</v>
      </c>
      <c r="D76" s="21" t="s">
        <v>220</v>
      </c>
      <c r="E76" s="20" t="s">
        <v>545</v>
      </c>
      <c r="F76" s="21" t="s">
        <v>546</v>
      </c>
      <c r="G76" s="21" t="s">
        <v>547</v>
      </c>
      <c r="H76" s="21" t="s">
        <v>248</v>
      </c>
      <c r="I76" s="21" t="s">
        <v>25</v>
      </c>
      <c r="J76" s="21" t="s">
        <v>548</v>
      </c>
    </row>
    <row r="77" customFormat="false" ht="36" hidden="false" customHeight="true" outlineLevel="0" collapsed="false">
      <c r="A77" s="16" t="s">
        <v>92</v>
      </c>
      <c r="B77" s="17" t="s">
        <v>93</v>
      </c>
      <c r="C77" s="16" t="s">
        <v>222</v>
      </c>
      <c r="D77" s="17" t="s">
        <v>223</v>
      </c>
      <c r="E77" s="16" t="s">
        <v>549</v>
      </c>
      <c r="F77" s="17" t="s">
        <v>550</v>
      </c>
      <c r="G77" s="17" t="s">
        <v>551</v>
      </c>
      <c r="H77" s="17" t="s">
        <v>248</v>
      </c>
      <c r="I77" s="17" t="s">
        <v>23</v>
      </c>
      <c r="J77" s="17" t="s">
        <v>552</v>
      </c>
    </row>
    <row r="78" customFormat="false" ht="36" hidden="false" customHeight="true" outlineLevel="0" collapsed="false">
      <c r="A78" s="16" t="s">
        <v>92</v>
      </c>
      <c r="B78" s="17" t="s">
        <v>93</v>
      </c>
      <c r="C78" s="16" t="s">
        <v>225</v>
      </c>
      <c r="D78" s="17" t="s">
        <v>226</v>
      </c>
      <c r="E78" s="16" t="s">
        <v>553</v>
      </c>
      <c r="F78" s="17" t="s">
        <v>554</v>
      </c>
      <c r="G78" s="17" t="s">
        <v>555</v>
      </c>
      <c r="H78" s="17" t="s">
        <v>322</v>
      </c>
      <c r="I78" s="17" t="s">
        <v>23</v>
      </c>
      <c r="J78" s="17" t="s">
        <v>556</v>
      </c>
    </row>
    <row r="79" customFormat="false" ht="36" hidden="false" customHeight="true" outlineLevel="0" collapsed="false">
      <c r="A79" s="18" t="s">
        <v>92</v>
      </c>
      <c r="B79" s="19" t="s">
        <v>93</v>
      </c>
      <c r="C79" s="18" t="s">
        <v>225</v>
      </c>
      <c r="D79" s="19" t="s">
        <v>226</v>
      </c>
      <c r="E79" s="18" t="s">
        <v>557</v>
      </c>
      <c r="F79" s="19" t="s">
        <v>558</v>
      </c>
      <c r="G79" s="19" t="s">
        <v>559</v>
      </c>
      <c r="H79" s="19" t="s">
        <v>248</v>
      </c>
      <c r="I79" s="19" t="s">
        <v>24</v>
      </c>
      <c r="J79" s="19" t="s">
        <v>560</v>
      </c>
    </row>
    <row r="80" customFormat="false" ht="36" hidden="false" customHeight="true" outlineLevel="0" collapsed="false">
      <c r="A80" s="18" t="s">
        <v>97</v>
      </c>
      <c r="B80" s="19" t="s">
        <v>98</v>
      </c>
      <c r="C80" s="18" t="s">
        <v>228</v>
      </c>
      <c r="D80" s="19" t="s">
        <v>229</v>
      </c>
      <c r="E80" s="18" t="s">
        <v>561</v>
      </c>
      <c r="F80" s="19" t="s">
        <v>562</v>
      </c>
      <c r="G80" s="19" t="s">
        <v>563</v>
      </c>
      <c r="H80" s="19" t="s">
        <v>248</v>
      </c>
      <c r="I80" s="19" t="s">
        <v>24</v>
      </c>
      <c r="J80" s="19" t="s">
        <v>564</v>
      </c>
    </row>
    <row r="81" customFormat="false" ht="36" hidden="false" customHeight="true" outlineLevel="0" collapsed="false">
      <c r="A81" s="18" t="s">
        <v>97</v>
      </c>
      <c r="B81" s="19" t="s">
        <v>98</v>
      </c>
      <c r="C81" s="18" t="s">
        <v>231</v>
      </c>
      <c r="D81" s="19" t="s">
        <v>232</v>
      </c>
      <c r="E81" s="18" t="s">
        <v>565</v>
      </c>
      <c r="F81" s="19" t="s">
        <v>566</v>
      </c>
      <c r="G81" s="19" t="s">
        <v>567</v>
      </c>
      <c r="H81" s="19" t="s">
        <v>248</v>
      </c>
      <c r="I81" s="19" t="s">
        <v>24</v>
      </c>
      <c r="J81" s="19" t="s">
        <v>568</v>
      </c>
    </row>
    <row r="82" customFormat="false" ht="36" hidden="false" customHeight="true" outlineLevel="0" collapsed="false">
      <c r="A82" s="20" t="s">
        <v>97</v>
      </c>
      <c r="B82" s="21" t="s">
        <v>98</v>
      </c>
      <c r="C82" s="20" t="s">
        <v>234</v>
      </c>
      <c r="D82" s="21" t="s">
        <v>235</v>
      </c>
      <c r="E82" s="20" t="s">
        <v>569</v>
      </c>
      <c r="F82" s="21" t="s">
        <v>570</v>
      </c>
      <c r="G82" s="21" t="s">
        <v>571</v>
      </c>
      <c r="H82" s="21" t="s">
        <v>248</v>
      </c>
      <c r="I82" s="21" t="s">
        <v>25</v>
      </c>
      <c r="J82" s="21" t="s">
        <v>572</v>
      </c>
    </row>
  </sheetData>
  <autoFilter ref="A1:J82"/>
  <dataValidations count="2">
    <dataValidation allowBlank="false" errorStyle="stop" operator="between" showDropDown="false" showErrorMessage="false" showInputMessage="false" sqref="I2:I82" type="list">
      <formula1>"V1-pilote,V1,V1.1,Plus tard"</formula1>
      <formula2>0</formula2>
    </dataValidation>
    <dataValidation allowBlank="false" errorStyle="stop" operator="between" showDropDown="false" showErrorMessage="false" showInputMessage="false" sqref="H2:H82" type="list">
      <formula1>"positive_only_critical,standard,emotional,respect"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&amp;LSentier — Leçons</oddHeader>
    <oddFooter>&amp;RPage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62"/>
  </cols>
  <sheetData>
    <row r="2" customFormat="false" ht="22.05" hidden="false" customHeight="false" outlineLevel="0" collapsed="false">
      <c r="B2" s="1" t="s">
        <v>573</v>
      </c>
      <c r="C2" s="1"/>
      <c r="D2" s="1"/>
      <c r="E2" s="1"/>
    </row>
    <row r="3" customFormat="false" ht="36" hidden="false" customHeight="true" outlineLevel="0" collapsed="false">
      <c r="B3" s="22" t="s">
        <v>574</v>
      </c>
      <c r="C3" s="22"/>
      <c r="D3" s="22"/>
      <c r="E3" s="22"/>
    </row>
    <row r="5" customFormat="false" ht="15" hidden="false" customHeight="false" outlineLevel="0" collapsed="false">
      <c r="B5" s="9" t="s">
        <v>575</v>
      </c>
      <c r="C5" s="9" t="s">
        <v>239</v>
      </c>
      <c r="D5" s="9" t="s">
        <v>576</v>
      </c>
      <c r="E5" s="9" t="s">
        <v>577</v>
      </c>
    </row>
    <row r="6" customFormat="false" ht="27.75" hidden="false" customHeight="true" outlineLevel="0" collapsed="false">
      <c r="B6" s="15" t="s">
        <v>578</v>
      </c>
      <c r="C6" s="14" t="s">
        <v>282</v>
      </c>
      <c r="D6" s="15" t="s">
        <v>579</v>
      </c>
      <c r="E6" s="15" t="s">
        <v>580</v>
      </c>
    </row>
    <row r="7" customFormat="false" ht="27.75" hidden="false" customHeight="true" outlineLevel="0" collapsed="false">
      <c r="B7" s="13" t="s">
        <v>581</v>
      </c>
      <c r="C7" s="12" t="s">
        <v>287</v>
      </c>
      <c r="D7" s="13" t="s">
        <v>582</v>
      </c>
      <c r="E7" s="13" t="s">
        <v>583</v>
      </c>
    </row>
    <row r="8" customFormat="false" ht="27.75" hidden="false" customHeight="true" outlineLevel="0" collapsed="false">
      <c r="B8" s="15" t="s">
        <v>584</v>
      </c>
      <c r="C8" s="14" t="s">
        <v>307</v>
      </c>
      <c r="D8" s="15" t="s">
        <v>585</v>
      </c>
      <c r="E8" s="15" t="s">
        <v>128</v>
      </c>
    </row>
    <row r="9" customFormat="false" ht="27.75" hidden="false" customHeight="true" outlineLevel="0" collapsed="false">
      <c r="B9" s="13" t="s">
        <v>586</v>
      </c>
      <c r="C9" s="12" t="s">
        <v>368</v>
      </c>
      <c r="D9" s="13" t="s">
        <v>587</v>
      </c>
      <c r="E9" s="13" t="s">
        <v>588</v>
      </c>
    </row>
    <row r="10" customFormat="false" ht="27.75" hidden="false" customHeight="true" outlineLevel="0" collapsed="false">
      <c r="B10" s="15" t="s">
        <v>589</v>
      </c>
      <c r="C10" s="14" t="s">
        <v>376</v>
      </c>
      <c r="D10" s="15" t="s">
        <v>587</v>
      </c>
      <c r="E10" s="15" t="s">
        <v>590</v>
      </c>
    </row>
    <row r="11" customFormat="false" ht="27.75" hidden="false" customHeight="true" outlineLevel="0" collapsed="false">
      <c r="B11" s="13" t="s">
        <v>591</v>
      </c>
      <c r="C11" s="12" t="s">
        <v>336</v>
      </c>
      <c r="D11" s="13" t="s">
        <v>592</v>
      </c>
      <c r="E11" s="13" t="s">
        <v>593</v>
      </c>
    </row>
    <row r="12" customFormat="false" ht="27.75" hidden="false" customHeight="true" outlineLevel="0" collapsed="false">
      <c r="B12" s="15" t="s">
        <v>594</v>
      </c>
      <c r="C12" s="14" t="s">
        <v>360</v>
      </c>
      <c r="D12" s="15" t="s">
        <v>595</v>
      </c>
      <c r="E12" s="15" t="s">
        <v>596</v>
      </c>
    </row>
    <row r="13" customFormat="false" ht="27.75" hidden="false" customHeight="true" outlineLevel="0" collapsed="false">
      <c r="B13" s="13" t="s">
        <v>597</v>
      </c>
      <c r="C13" s="12" t="s">
        <v>401</v>
      </c>
      <c r="D13" s="13" t="s">
        <v>598</v>
      </c>
      <c r="E13" s="13" t="s">
        <v>599</v>
      </c>
    </row>
    <row r="14" customFormat="false" ht="27.75" hidden="false" customHeight="true" outlineLevel="0" collapsed="false">
      <c r="B14" s="15" t="s">
        <v>600</v>
      </c>
      <c r="C14" s="14" t="s">
        <v>421</v>
      </c>
      <c r="D14" s="15" t="s">
        <v>598</v>
      </c>
      <c r="E14" s="15" t="s">
        <v>601</v>
      </c>
    </row>
    <row r="15" customFormat="false" ht="27.75" hidden="false" customHeight="true" outlineLevel="0" collapsed="false">
      <c r="B15" s="13" t="s">
        <v>602</v>
      </c>
      <c r="C15" s="12" t="s">
        <v>388</v>
      </c>
      <c r="D15" s="13" t="s">
        <v>598</v>
      </c>
      <c r="E15" s="13" t="s">
        <v>603</v>
      </c>
    </row>
    <row r="16" customFormat="false" ht="27.75" hidden="false" customHeight="true" outlineLevel="0" collapsed="false">
      <c r="B16" s="15" t="s">
        <v>604</v>
      </c>
      <c r="C16" s="14" t="s">
        <v>393</v>
      </c>
      <c r="D16" s="15" t="s">
        <v>605</v>
      </c>
      <c r="E16" s="15" t="s">
        <v>606</v>
      </c>
    </row>
    <row r="17" customFormat="false" ht="27.75" hidden="false" customHeight="true" outlineLevel="0" collapsed="false">
      <c r="B17" s="13" t="s">
        <v>607</v>
      </c>
      <c r="C17" s="12" t="s">
        <v>441</v>
      </c>
      <c r="D17" s="13" t="s">
        <v>608</v>
      </c>
      <c r="E17" s="13" t="s">
        <v>609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Arbre pilote</oddHeader>
    <oddFooter>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2026-09-03T00:38:33Z</dcterms:created>
  <dc:creator>openpyxl</dc:creator>
  <dc:description/>
  <dc:language>en-US</dc:language>
  <cp:lastModifiedBy/>
  <dcterms:modified xsi:type="dcterms:W3CDTF">2026-09-03T00:38:33Z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