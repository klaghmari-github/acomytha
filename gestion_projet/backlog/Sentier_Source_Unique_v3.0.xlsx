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-Lisez-moi" sheetId="1" state="visible" r:id="rId3"/>
    <sheet name="01-Hors-périmètre" sheetId="2" state="visible" r:id="rId4"/>
    <sheet name="11-Suivi-features" sheetId="3" state="visible" r:id="rId5"/>
    <sheet name="11b-Suivi-validation" sheetId="4" state="visible" r:id="rId6"/>
    <sheet name="12-Sprint-0" sheetId="5" state="visible" r:id="rId7"/>
    <sheet name="10-Features" sheetId="6" state="visible" r:id="rId8"/>
    <sheet name="20-Domaines" sheetId="7" state="visible" r:id="rId9"/>
    <sheet name="21-Sous-domaines" sheetId="8" state="visible" r:id="rId10"/>
    <sheet name="22-Leçons" sheetId="9" state="visible" r:id="rId11"/>
    <sheet name="23-Fiches-pilote" sheetId="10" state="visible" r:id="rId12"/>
    <sheet name="24-Arbre-Parc" sheetId="11" state="visible" r:id="rId13"/>
    <sheet name="30-Strategie-validation" sheetId="12" state="visible" r:id="rId14"/>
    <sheet name="31-Backlog-validation" sheetId="13" state="visible" r:id="rId15"/>
    <sheet name="32-Revue-humaine" sheetId="14" state="visible" r:id="rId16"/>
    <sheet name="40-Contrats" sheetId="15" state="visible" r:id="rId17"/>
  </sheets>
  <definedNames>
    <definedName function="false" hidden="false" localSheetId="0" name="_xlnm.Print_Titles" vbProcedure="false">'00-Lisez-moi'!$1:$1</definedName>
    <definedName function="false" hidden="false" localSheetId="1" name="_xlnm.Print_Titles" vbProcedure="false">'01-Hors-périmètre'!$1:$1</definedName>
    <definedName function="false" hidden="false" localSheetId="5" name="_xlnm.Print_Titles" vbProcedure="false">'10-Features'!$1:$1</definedName>
    <definedName function="false" hidden="true" localSheetId="5" name="_xlnm._FilterDatabase" vbProcedure="false">'10-Features'!$A$1:$I$68</definedName>
    <definedName function="false" hidden="false" localSheetId="2" name="_xlnm.Print_Titles" vbProcedure="false">'11-Suivi-features'!$1:$1</definedName>
    <definedName function="false" hidden="false" localSheetId="3" name="_xlnm.Print_Titles" vbProcedure="false">'11b-Suivi-validation'!$1:$1</definedName>
    <definedName function="false" hidden="false" localSheetId="4" name="_xlnm.Print_Titles" vbProcedure="false">'12-Sprint-0'!$1:$1</definedName>
    <definedName function="false" hidden="true" localSheetId="4" name="_xlnm._FilterDatabase" vbProcedure="false">'12-Sprint-0'!$A$1:$D$42</definedName>
    <definedName function="false" hidden="false" localSheetId="6" name="_xlnm.Print_Titles" vbProcedure="false">'20-Domaines'!$1:$1</definedName>
    <definedName function="false" hidden="true" localSheetId="6" name="_xlnm._FilterDatabase" vbProcedure="false">'20-Domaines'!$A$1:$G$14</definedName>
    <definedName function="false" hidden="false" localSheetId="7" name="_xlnm.Print_Titles" vbProcedure="false">'21-Sous-domaines'!$1:$1</definedName>
    <definedName function="false" hidden="true" localSheetId="7" name="_xlnm._FilterDatabase" vbProcedure="false">'21-Sous-domaines'!$A$1:$D$45</definedName>
    <definedName function="false" hidden="false" localSheetId="8" name="_xlnm.Print_Titles" vbProcedure="false">'22-Leçons'!$1:$1</definedName>
    <definedName function="false" hidden="true" localSheetId="8" name="_xlnm._FilterDatabase" vbProcedure="false">'22-Leçons'!$A$1:$O$86</definedName>
    <definedName function="false" hidden="false" localSheetId="9" name="_xlnm.Print_Titles" vbProcedure="false">'23-Fiches-pilote'!$1:$1</definedName>
    <definedName function="false" hidden="true" localSheetId="9" name="_xlnm._FilterDatabase" vbProcedure="false">'23-Fiches-pilote'!$A$1:$I$16</definedName>
    <definedName function="false" hidden="false" localSheetId="10" name="_xlnm.Print_Titles" vbProcedure="false">'24-Arbre-Parc'!$1:$1</definedName>
    <definedName function="false" hidden="true" localSheetId="10" name="_xlnm._FilterDatabase" vbProcedure="false">'24-Arbre-Parc'!$A$1:$E$16</definedName>
    <definedName function="false" hidden="false" localSheetId="11" name="_xlnm.Print_Titles" vbProcedure="false">'30-Strategie-validation'!$1:$1</definedName>
    <definedName function="false" hidden="false" localSheetId="12" name="_xlnm.Print_Titles" vbProcedure="false">'31-Backlog-validation'!$1:$1</definedName>
    <definedName function="false" hidden="true" localSheetId="12" name="_xlnm._FilterDatabase" vbProcedure="false">'31-Backlog-validation'!$A$1:$G$37</definedName>
    <definedName function="false" hidden="false" localSheetId="13" name="_xlnm.Print_Titles" vbProcedure="false">'32-Revue-humaine'!$1:$1</definedName>
    <definedName function="false" hidden="false" localSheetId="14" name="_xlnm.Print_Titles" vbProcedure="false">'40-Contrats'!$1:$1</definedName>
    <definedName function="false" hidden="true" localSheetId="14" name="_xlnm._FilterDatabase" vbProcedure="false">'40-Contrats'!$A$1:$C$17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<sst xmlns="http://schemas.openxmlformats.org/spreadsheetml/2006/main" count="2751" uniqueCount="1587">
  <si>
    <t xml:space="preserve">Sentier — Source unique v3.0</t>
  </si>
  <si>
    <t xml:space="preserve">3 septembre 2026. Features + arborescence des leçons + stratégie de validation. Remplace les trois fichiers séparés.</t>
  </si>
  <si>
    <t xml:space="preserve">Comment lire</t>
  </si>
  <si>
    <t xml:space="preserve">01-Hors-périmètre — ce qu'on ne construit pas, pour que personne n'ouvre F-V2 par erreur.</t>
  </si>
  <si>
    <t xml:space="preserve">10-Features — tickets produit (app + production). IDs F-xxx.</t>
  </si>
  <si>
    <t xml:space="preserve">11-Suivi-features — formules.</t>
  </si>
  <si>
    <t xml:space="preserve">12-Sprint-0 — ordre de code pour la première écoute.</t>
  </si>
  <si>
    <t xml:space="preserve">20-Domaines / 21-Sous-domaines / 22-Leçons — taxonomie complète + champs de contrat.</t>
  </si>
  <si>
    <t xml:space="preserve">23-Fiches-pilote — les 12 contrats exécutables de l'arbre Parc.</t>
  </si>
  <si>
    <t xml:space="preserve">24-Arbre-Parc — ordre des scènes.</t>
  </si>
  <si>
    <t xml:space="preserve">30-Strategie-validation — pipeline, gravités, preuves, ontologie.</t>
  </si>
  <si>
    <t xml:space="preserve">31-Backlog-validation — tickets VAL-xxx (service de prod, pas l'app).</t>
  </si>
  <si>
    <t xml:space="preserve">32-Revue-humaine — qui relit quoi.</t>
  </si>
  <si>
    <t xml:space="preserve">40-Contrats — enums et champs JSON à implémenter en premier (F-SCH-001).</t>
  </si>
  <si>
    <t xml:space="preserve">Règle d'or</t>
  </si>
  <si>
    <t xml:space="preserve">Les parents définissent la forêt. Le système choisit l'arbre. L'enfant choisit les branches.</t>
  </si>
  <si>
    <t xml:space="preserve">Tous les chemins existent avant l'écoute. Aucun LLM dans le téléphone pendant la session.</t>
  </si>
  <si>
    <t xml:space="preserve">Le générateur cherche une histoire. Les validateurs cherchent les défauts. La publication ne croit personne.</t>
  </si>
  <si>
    <t xml:space="preserve">Hors périmètre — ne pas ticketiser</t>
  </si>
  <si>
    <t xml:space="preserve">#</t>
  </si>
  <si>
    <t xml:space="preserve">Interdit / reporté</t>
  </si>
  <si>
    <t xml:space="preserve">Conversation vocale ouverte avec l'enfant (MVP).</t>
  </si>
  <si>
    <t xml:space="preserve">Génération de texte ou d'audio sur le téléphone pendant la session.</t>
  </si>
  <si>
    <t xml:space="preserve">Prénom de l'enfant dit à voix haute comme variable libre.</t>
  </si>
  <si>
    <t xml:space="preserve">Illustrations, vidéo ou mini-jeu visuel nécessaires à la compréhension.</t>
  </si>
  <si>
    <t xml:space="preserve">Réseau social, contenus publics créés par les familles.</t>
  </si>
  <si>
    <t xml:space="preserve">Diagnostic, bulletin, note, évaluation scolaire certifiée.</t>
  </si>
  <si>
    <t xml:space="preserve">Religion, politique, guerre, crime, tuerie dans l'audio enfant.</t>
  </si>
  <si>
    <t xml:space="preserve">Discours de genre, deux papas, deux mamans — y compris « pour expliquer que non ».</t>
  </si>
  <si>
    <t xml:space="preserve">Description opératoire d'un geste dangereux, même pour l'interdire.</t>
  </si>
  <si>
    <t xml:space="preserve">Obéissance aveugle à n'importe quel adulte.</t>
  </si>
  <si>
    <t xml:space="preserve">Publicité ciblant l'enfant, récompense pour écouter trop longtemps.</t>
  </si>
  <si>
    <t xml:space="preserve">Mini-LLM et voice-to-voice (F-V2-*) : Phase 6–7 seulement, après corpus neutre.</t>
  </si>
  <si>
    <t xml:space="preserve">Leçon parentale publiée sans isolation ni validateurs (F-CUS est P2).</t>
  </si>
  <si>
    <t xml:space="preserve">Suivi features</t>
  </si>
  <si>
    <t xml:space="preserve">Total</t>
  </si>
  <si>
    <t xml:space="preserve">P0</t>
  </si>
  <si>
    <t xml:space="preserve">P1</t>
  </si>
  <si>
    <t xml:space="preserve">P2</t>
  </si>
  <si>
    <t xml:space="preserve">P3</t>
  </si>
  <si>
    <t xml:space="preserve">À faire</t>
  </si>
  <si>
    <t xml:space="preserve">En cours</t>
  </si>
  <si>
    <t xml:space="preserve">Fait</t>
  </si>
  <si>
    <t xml:space="preserve">% fait</t>
  </si>
  <si>
    <t xml:space="preserve">Suivi validation</t>
  </si>
  <si>
    <t xml:space="preserve">Sprint 0 — première écoute hors ligne, sans LLM</t>
  </si>
  <si>
    <t xml:space="preserve">Ordre</t>
  </si>
  <si>
    <t xml:space="preserve">ID</t>
  </si>
  <si>
    <t xml:space="preserve">Titre</t>
  </si>
  <si>
    <t xml:space="preserve">Pourquoi</t>
  </si>
  <si>
    <t xml:space="preserve">1</t>
  </si>
  <si>
    <t xml:space="preserve">F-SCH-001</t>
  </si>
  <si>
    <t xml:space="preserve">Schémas JSON</t>
  </si>
  <si>
    <t xml:space="preserve">Sinon chaque PR invente un format.</t>
  </si>
  <si>
    <t xml:space="preserve">2</t>
  </si>
  <si>
    <t xml:space="preserve">F-TAX-001</t>
  </si>
  <si>
    <t xml:space="preserve">Taxonomie</t>
  </si>
  <si>
    <t xml:space="preserve">Les IDs de leçons.</t>
  </si>
  <si>
    <t xml:space="preserve">3</t>
  </si>
  <si>
    <t xml:space="preserve">F-TAX-002</t>
  </si>
  <si>
    <t xml:space="preserve">Fiche leçon</t>
  </si>
  <si>
    <t xml:space="preserve">Contrat du parc.</t>
  </si>
  <si>
    <t xml:space="preserve">4</t>
  </si>
  <si>
    <t xml:space="preserve">F-NEU-001</t>
  </si>
  <si>
    <t xml:space="preserve">Hors jardin</t>
  </si>
  <si>
    <t xml:space="preserve">Avant d'écrire une phrase.</t>
  </si>
  <si>
    <t xml:space="preserve">5</t>
  </si>
  <si>
    <t xml:space="preserve">F-NEU-002</t>
  </si>
  <si>
    <t xml:space="preserve">Formulation positive</t>
  </si>
  <si>
    <t xml:space="preserve">Idem.</t>
  </si>
  <si>
    <t xml:space="preserve">6</t>
  </si>
  <si>
    <t xml:space="preserve">F-NAR-001</t>
  </si>
  <si>
    <t xml:space="preserve">Modèle arbre</t>
  </si>
  <si>
    <t xml:space="preserve">Graphe.</t>
  </si>
  <si>
    <t xml:space="preserve">7</t>
  </si>
  <si>
    <t xml:space="preserve">VAL-PED-001</t>
  </si>
  <si>
    <t xml:space="preserve">Contrat obligatoire</t>
  </si>
  <si>
    <t xml:space="preserve">Porte d'entrée validation.</t>
  </si>
  <si>
    <t xml:space="preserve">8</t>
  </si>
  <si>
    <t xml:space="preserve">VAL-GRAPH-001</t>
  </si>
  <si>
    <t xml:space="preserve">Compilateur</t>
  </si>
  <si>
    <t xml:space="preserve">Structure.</t>
  </si>
  <si>
    <t xml:space="preserve">9</t>
  </si>
  <si>
    <t xml:space="preserve">VAL-GRAPH-002</t>
  </si>
  <si>
    <t xml:space="preserve">Couverture 100 %</t>
  </si>
  <si>
    <t xml:space="preserve">Tous les chemins.</t>
  </si>
  <si>
    <t xml:space="preserve">10</t>
  </si>
  <si>
    <t xml:space="preserve">VAL-NEU-010</t>
  </si>
  <si>
    <t xml:space="preserve">Filtre hors jardin</t>
  </si>
  <si>
    <t xml:space="preserve">Déterministe.</t>
  </si>
  <si>
    <t xml:space="preserve">11</t>
  </si>
  <si>
    <t xml:space="preserve">VAL-SAFE-002</t>
  </si>
  <si>
    <t xml:space="preserve">Imitabilité</t>
  </si>
  <si>
    <t xml:space="preserve">12</t>
  </si>
  <si>
    <t xml:space="preserve">F-GEN-001</t>
  </si>
  <si>
    <t xml:space="preserve">Génération amont</t>
  </si>
  <si>
    <t xml:space="preserve">1 arbre parc.</t>
  </si>
  <si>
    <t xml:space="preserve">13</t>
  </si>
  <si>
    <t xml:space="preserve">F-GEN-002</t>
  </si>
  <si>
    <t xml:space="preserve">Simulateur</t>
  </si>
  <si>
    <t xml:space="preserve">Chemins du parc.</t>
  </si>
  <si>
    <t xml:space="preserve">14</t>
  </si>
  <si>
    <t xml:space="preserve">F-DRT-001</t>
  </si>
  <si>
    <t xml:space="preserve">Franchises</t>
  </si>
  <si>
    <t xml:space="preserve">Avant audio.</t>
  </si>
  <si>
    <t xml:space="preserve">15</t>
  </si>
  <si>
    <t xml:space="preserve">VAL-DEC-001</t>
  </si>
  <si>
    <t xml:space="preserve">États orchestrateur</t>
  </si>
  <si>
    <t xml:space="preserve">APPROVED_TEXT.</t>
  </si>
  <si>
    <t xml:space="preserve">16</t>
  </si>
  <si>
    <t xml:space="preserve">F-AUD-001</t>
  </si>
  <si>
    <t xml:space="preserve">Découpage</t>
  </si>
  <si>
    <t xml:space="preserve">Paquet.</t>
  </si>
  <si>
    <t xml:space="preserve">17</t>
  </si>
  <si>
    <t xml:space="preserve">VAL-AUD-001</t>
  </si>
  <si>
    <t xml:space="preserve">Texte figé</t>
  </si>
  <si>
    <t xml:space="preserve">TTS.</t>
  </si>
  <si>
    <t xml:space="preserve">18</t>
  </si>
  <si>
    <t xml:space="preserve">F-AUD-002</t>
  </si>
  <si>
    <t xml:space="preserve">Durées</t>
  </si>
  <si>
    <t xml:space="preserve">Moteur.</t>
  </si>
  <si>
    <t xml:space="preserve">19</t>
  </si>
  <si>
    <t xml:space="preserve">VAL-AUD-002</t>
  </si>
  <si>
    <t xml:space="preserve">ASR match</t>
  </si>
  <si>
    <t xml:space="preserve">Paquet signé.</t>
  </si>
  <si>
    <t xml:space="preserve">20</t>
  </si>
  <si>
    <t xml:space="preserve">F-ACC-001</t>
  </si>
  <si>
    <t xml:space="preserve">Compte</t>
  </si>
  <si>
    <t xml:space="preserve">App.</t>
  </si>
  <si>
    <t xml:space="preserve">21</t>
  </si>
  <si>
    <t xml:space="preserve">F-ONB-001</t>
  </si>
  <si>
    <t xml:space="preserve">Onboarding</t>
  </si>
  <si>
    <t xml:space="preserve">Première famille.</t>
  </si>
  <si>
    <t xml:space="preserve">22</t>
  </si>
  <si>
    <t xml:space="preserve">F-SEC-001</t>
  </si>
  <si>
    <t xml:space="preserve">Code parental</t>
  </si>
  <si>
    <t xml:space="preserve">Cloison.</t>
  </si>
  <si>
    <t xml:space="preserve">23</t>
  </si>
  <si>
    <t xml:space="preserve">F-PRF-001</t>
  </si>
  <si>
    <t xml:space="preserve">Profil</t>
  </si>
  <si>
    <t xml:space="preserve">Cible.</t>
  </si>
  <si>
    <t xml:space="preserve">24</t>
  </si>
  <si>
    <t xml:space="preserve">F-PRF-002</t>
  </si>
  <si>
    <t xml:space="preserve">Niveaux</t>
  </si>
  <si>
    <t xml:space="preserve">Filtre.</t>
  </si>
  <si>
    <t xml:space="preserve">25</t>
  </si>
  <si>
    <t xml:space="preserve">F-TAX-003</t>
  </si>
  <si>
    <t xml:space="preserve">Priorités</t>
  </si>
  <si>
    <t xml:space="preserve">Mini-forêt.</t>
  </si>
  <si>
    <t xml:space="preserve">26</t>
  </si>
  <si>
    <t xml:space="preserve">F-FOR-001</t>
  </si>
  <si>
    <t xml:space="preserve">Forêt parentale</t>
  </si>
  <si>
    <t xml:space="preserve">Autorisés.</t>
  </si>
  <si>
    <t xml:space="preserve">27</t>
  </si>
  <si>
    <t xml:space="preserve">F-LOC-002</t>
  </si>
  <si>
    <t xml:space="preserve">Paquets</t>
  </si>
  <si>
    <t xml:space="preserve">DL.</t>
  </si>
  <si>
    <t xml:space="preserve">28</t>
  </si>
  <si>
    <t xml:space="preserve">F-LOC-003</t>
  </si>
  <si>
    <t xml:space="preserve">États</t>
  </si>
  <si>
    <t xml:space="preserve">Cycle de vie local.</t>
  </si>
  <si>
    <t xml:space="preserve">29</t>
  </si>
  <si>
    <t xml:space="preserve">F-PLT-001</t>
  </si>
  <si>
    <t xml:space="preserve">Stores / disque</t>
  </si>
  <si>
    <t xml:space="preserve">Réalité device.</t>
  </si>
  <si>
    <t xml:space="preserve">30</t>
  </si>
  <si>
    <t xml:space="preserve">F-NAR-002</t>
  </si>
  <si>
    <t xml:space="preserve">Moteur local</t>
  </si>
  <si>
    <t xml:space="preserve">Cœur.</t>
  </si>
  <si>
    <t xml:space="preserve">31</t>
  </si>
  <si>
    <t xml:space="preserve">F-NAR-003</t>
  </si>
  <si>
    <t xml:space="preserve">Ordonnanceur</t>
  </si>
  <si>
    <t xml:space="preserve">Quel arbre.</t>
  </si>
  <si>
    <t xml:space="preserve">32</t>
  </si>
  <si>
    <t xml:space="preserve">F-NAR-005</t>
  </si>
  <si>
    <t xml:space="preserve">Reprise</t>
  </si>
  <si>
    <t xml:space="preserve">Téléphone.</t>
  </si>
  <si>
    <t xml:space="preserve">33</t>
  </si>
  <si>
    <t xml:space="preserve">F-PLY-001</t>
  </si>
  <si>
    <t xml:space="preserve">Lecteur</t>
  </si>
  <si>
    <t xml:space="preserve">Enfant.</t>
  </si>
  <si>
    <t xml:space="preserve">34</t>
  </si>
  <si>
    <t xml:space="preserve">F-SEC-002</t>
  </si>
  <si>
    <t xml:space="preserve">Cloison enfant</t>
  </si>
  <si>
    <t xml:space="preserve">Sécurité.</t>
  </si>
  <si>
    <t xml:space="preserve">35</t>
  </si>
  <si>
    <t xml:space="preserve">F-PLY-002</t>
  </si>
  <si>
    <t xml:space="preserve">Mode jour</t>
  </si>
  <si>
    <t xml:space="preserve">Session.</t>
  </si>
  <si>
    <t xml:space="preserve">36</t>
  </si>
  <si>
    <t xml:space="preserve">F-PLY-004</t>
  </si>
  <si>
    <t xml:space="preserve">Offline</t>
  </si>
  <si>
    <t xml:space="preserve">Promesse.</t>
  </si>
  <si>
    <t xml:space="preserve">37</t>
  </si>
  <si>
    <t xml:space="preserve">F-PAR-003</t>
  </si>
  <si>
    <t xml:space="preserve">Préécoute</t>
  </si>
  <si>
    <t xml:space="preserve">Parent.</t>
  </si>
  <si>
    <t xml:space="preserve">38</t>
  </si>
  <si>
    <t xml:space="preserve">F-PRI-001</t>
  </si>
  <si>
    <t xml:space="preserve">Privacy</t>
  </si>
  <si>
    <t xml:space="preserve">Avant store.</t>
  </si>
  <si>
    <t xml:space="preserve">Epic</t>
  </si>
  <si>
    <t xml:space="preserve">Description</t>
  </si>
  <si>
    <t xml:space="preserve">Priorité</t>
  </si>
  <si>
    <t xml:space="preserve">Phase</t>
  </si>
  <si>
    <t xml:space="preserve">Dépendances</t>
  </si>
  <si>
    <t xml:space="preserve">Branche Git</t>
  </si>
  <si>
    <t xml:space="preserve">Statut</t>
  </si>
  <si>
    <t xml:space="preserve">Référentiel</t>
  </si>
  <si>
    <t xml:space="preserve">Taxonomie 3 niveaux</t>
  </si>
  <si>
    <t xml:space="preserve">Domaine → sous-domaine → leçon. IDs immuables (SEC.RUE.002). Voir onglet Leçons.</t>
  </si>
  <si>
    <t xml:space="preserve">P0-Cadrage</t>
  </si>
  <si>
    <t xml:space="preserve">—</t>
  </si>
  <si>
    <t xml:space="preserve">feat/F-TAX-001-taxonomie</t>
  </si>
  <si>
    <t xml:space="preserve">Fiche leçon versionnée</t>
  </si>
  <si>
    <t xml:space="preserve">Champs : lesson_id, version, âge, objectif, required_messages, safe_actions, misconceptions, forbidden_messages, answer_intents, framing, sensitivity, positive_scripts, banned_child_audio. Une modif de message obligatoire = nouvelle version.</t>
  </si>
  <si>
    <t xml:space="preserve">feat/F-TAX-002-fiche-lecon</t>
  </si>
  <si>
    <t xml:space="preserve">Priorités / exclusions parent</t>
  </si>
  <si>
    <t xml:space="preserve">Activer un domaine, cocher des leçons, top priorités, plus tard, exclure. Score : priorité + compatibilité + révision − répétition − transition absurde − dépassement durée.</t>
  </si>
  <si>
    <t xml:space="preserve">P2-App</t>
  </si>
  <si>
    <t xml:space="preserve">F-TAX-001;F-PRF-001</t>
  </si>
  <si>
    <t xml:space="preserve">feat/F-TAX-003-priorites-parent</t>
  </si>
  <si>
    <t xml:space="preserve">F-TAX-004</t>
  </si>
  <si>
    <t xml:space="preserve">Couverture et versions de leçons</t>
  </si>
  <si>
    <t xml:space="preserve">Vue : jamais rencontrée / trop répétée. Anciens arbres restent jouables, plus renouvelés si la fiche a changé.</t>
  </si>
  <si>
    <t xml:space="preserve">P4-Stock</t>
  </si>
  <si>
    <t xml:space="preserve">feat/F-TAX-004-couverture</t>
  </si>
  <si>
    <t xml:space="preserve">Schémas JSON versionnés</t>
  </si>
  <si>
    <t xml:space="preserve">Contrats : lesson, tree, node, intent, validation_report, package_manifest. Enums d'états uniques. Breaking change = bump de version majeur. Voir onglet Contrats.</t>
  </si>
  <si>
    <t xml:space="preserve">F-TAX-002;F-NAR-001</t>
  </si>
  <si>
    <t xml:space="preserve">feat/F-SCH-001-schemas</t>
  </si>
  <si>
    <t xml:space="preserve">Éditorial</t>
  </si>
  <si>
    <t xml:space="preserve">Vocabulaire hors jardin absent de l'audio</t>
  </si>
  <si>
    <t xml:space="preserve">Audio enfant : quotidien (maison, école, parc, papa, maman, frère, sœur). Interdit : religion, politique, guerre, crime, tuerie, discours de genre, deux papas / deux mamans. On n'explique pas pour rejeter : c'est absent. Listes en métadonnées internes.</t>
  </si>
  <si>
    <t xml:space="preserve">feat/F-NEU-001-hors-jardin</t>
  </si>
  <si>
    <t xml:space="preserve">Formulation positive des dangers</t>
  </si>
  <si>
    <t xml:space="preserve">Dire quoi faire. Ne pas nommer le geste dangereux. Pas de choix qui décrit un geste imitable. Correction = conduite sûre seulement.</t>
  </si>
  <si>
    <t xml:space="preserve">feat/F-NEU-002-positif</t>
  </si>
  <si>
    <t xml:space="preserve">F-NEU-003</t>
  </si>
  <si>
    <t xml:space="preserve">Lexique des émotions</t>
  </si>
  <si>
    <t xml:space="preserve">Nom + cause + indice du corps + geste sûr. L'émotion n'est pas une faute.</t>
  </si>
  <si>
    <t xml:space="preserve">P1-Contenu</t>
  </si>
  <si>
    <t xml:space="preserve">feat/F-NEU-003-emotions</t>
  </si>
  <si>
    <t xml:space="preserve">F-NEU-004</t>
  </si>
  <si>
    <t xml:space="preserve">Différences et moqueries</t>
  </si>
  <si>
    <t xml:space="preserve">Taille, poids, lunettes, timidité, énergie, besoin de temps. Inviter ≠ forcer. Geste / objet / regard. Ne pas finir les phrases. Photo non consentie interdite. Trois rôles : visé, témoin, auteur.</t>
  </si>
  <si>
    <t xml:space="preserve">feat/F-NEU-004-differences</t>
  </si>
  <si>
    <t xml:space="preserve">F-NEU-005</t>
  </si>
  <si>
    <t xml:space="preserve">Validateur éditorial bloquant</t>
  </si>
  <si>
    <t xml:space="preserve">Hors-jardin, étiquettes, menaces affectives, « ne + geste dangereux », héros modèle risqué, famille hors papa-maman-enfants. Un hit refuse l'arbre.</t>
  </si>
  <si>
    <t xml:space="preserve">F-NEU-001;F-NEU-002;VAL-PIPE</t>
  </si>
  <si>
    <t xml:space="preserve">feat/F-NEU-005-validateur-editorial</t>
  </si>
  <si>
    <t xml:space="preserve">Moteur</t>
  </si>
  <si>
    <t xml:space="preserve">Modèle arbre / nœud / branche</t>
  </si>
  <si>
    <t xml:space="preserve">Types : audio, question_comprehension, question_lesson, choice_story, feedback, transition, silence_check, ending. Fins indépendantes. Tous les chemins aboutissent. Pas de boucle.</t>
  </si>
  <si>
    <t xml:space="preserve">F-TAX-002;F-SCH-001</t>
  </si>
  <si>
    <t xml:space="preserve">feat/F-NAR-001-modele-arbre</t>
  </si>
  <si>
    <t xml:space="preserve">Exécution locale sans LLM</t>
  </si>
  <si>
    <t xml:space="preserve">Joue l'audio, attend une intention ou un défaut, suit la branche, journalise. Aucun modèle génératif sur le téléphone pendant la session.</t>
  </si>
  <si>
    <t xml:space="preserve">F-NAR-001;F-AUD-001</t>
  </si>
  <si>
    <t xml:space="preserve">feat/F-NAR-002-moteur-local</t>
  </si>
  <si>
    <t xml:space="preserve">Ordonnanceur d'arbres</t>
  </si>
  <si>
    <t xml:space="preserve">Parent = forêt. Système = arbre. Enfant = branches. Aléatoire sans remise par défaut. Consommé à la première feuille. On ne force pas une branche inconnue.</t>
  </si>
  <si>
    <t xml:space="preserve">F-NAR-002;F-TAX-003</t>
  </si>
  <si>
    <t xml:space="preserve">feat/F-NAR-003-ordonnanceur</t>
  </si>
  <si>
    <t xml:space="preserve">F-NAR-004</t>
  </si>
  <si>
    <t xml:space="preserve">Durées de session réelles</t>
  </si>
  <si>
    <t xml:space="preserve">Cibles 5 / 10 / 15 / 30 / 60 min. min/moy/max mesurés sur l'audio. Pas d'arbre trop long pour le temps restant. Pas de coupe nette : clôture courte.</t>
  </si>
  <si>
    <t xml:space="preserve">F-NAR-003;F-AUD-002</t>
  </si>
  <si>
    <t xml:space="preserve">feat/F-NAR-004-durees</t>
  </si>
  <si>
    <t xml:space="preserve">Arbre, nœud, position, choix. Remise en contexte, pas au milieu d'une phrase. En-cours protégé contre l'éviction.</t>
  </si>
  <si>
    <t xml:space="preserve">feat/F-NAR-005-reprise</t>
  </si>
  <si>
    <t xml:space="preserve">F-NAR-006</t>
  </si>
  <si>
    <t xml:space="preserve">Défaut sûr et convergence</t>
  </si>
  <si>
    <t xml:space="preserve">Chaque choix a un défaut sûr. Liberté plus large au début, leçon prioritaire vers la fin. Nuit : fin progressive possible.</t>
  </si>
  <si>
    <t xml:space="preserve">P3-Voix</t>
  </si>
  <si>
    <t xml:space="preserve">F-NAR-002;F-INT-001</t>
  </si>
  <si>
    <t xml:space="preserve">feat/F-NAR-006-defaut</t>
  </si>
  <si>
    <t xml:space="preserve">F-INT-001</t>
  </si>
  <si>
    <t xml:space="preserve">Interactions</t>
  </si>
  <si>
    <t xml:space="preserve">Questions fermées</t>
  </si>
  <si>
    <t xml:space="preserve">1 à 3 mots. Intentions, exemples, interdits, délai, relances, défaut. Compréhension / leçon / choix. Silence ne bloque pas.</t>
  </si>
  <si>
    <t xml:space="preserve">feat/F-INT-001-questions</t>
  </si>
  <si>
    <t xml:space="preserve">F-INT-002</t>
  </si>
  <si>
    <t xml:space="preserve">Reconnaissance vocale fermée</t>
  </si>
  <si>
    <t xml:space="preserve">Pas de LLM de compréhension. Négation avant similarité. États MATCH, WRONG_EDUCATIONAL, AMBIGUOUS, NO_ANSWER, TECHNICAL_ERROR.</t>
  </si>
  <si>
    <t xml:space="preserve">feat/F-INT-002-reco</t>
  </si>
  <si>
    <t xml:space="preserve">F-INT-003</t>
  </si>
  <si>
    <t xml:space="preserve">Correction positive</t>
  </si>
  <si>
    <t xml:space="preserve">WRONG_EDUCATIONAL : conduite sûre seulement, pas d'humiliation, branche pédagogique prévue.</t>
  </si>
  <si>
    <t xml:space="preserve">F-INT-001;F-NEU-002</t>
  </si>
  <si>
    <t xml:space="preserve">feat/F-INT-003-correction</t>
  </si>
  <si>
    <t xml:space="preserve">F-INT-004</t>
  </si>
  <si>
    <t xml:space="preserve">Repli tactile anonyme</t>
  </si>
  <si>
    <t xml:space="preserve">Deux zones non illustratives = options déjà dites. L'écran ne raconte pas.</t>
  </si>
  <si>
    <t xml:space="preserve">feat/F-INT-004-tactile</t>
  </si>
  <si>
    <t xml:space="preserve">F-INT-005</t>
  </si>
  <si>
    <t xml:space="preserve">Micro refusé ou reco HS</t>
  </si>
  <si>
    <t xml:space="preserve">Si pas de micro ou TECHNICAL_ERROR répété : proposer le repli tactile ou enchaîner sur le défaut sûr. Ne jamais bloquer l'histoire. Requis dès qu'il y a une question.</t>
  </si>
  <si>
    <t xml:space="preserve">F-INT-001;F-INT-002</t>
  </si>
  <si>
    <t xml:space="preserve">feat/F-INT-005-micro-hs</t>
  </si>
  <si>
    <t xml:space="preserve">Lecture</t>
  </si>
  <si>
    <t xml:space="preserve">Lecteur écran pauvre</t>
  </si>
  <si>
    <t xml:space="preserve">Rien à regarder pour comprendre. Pause, répéter la dernière phrase. Pas d'avance 15 s. Pas de zap pendant la session. Continue écran éteint.</t>
  </si>
  <si>
    <t xml:space="preserve">F-NAR-002;F-SEC-002</t>
  </si>
  <si>
    <t xml:space="preserve">feat/F-PLY-001-lecteur</t>
  </si>
  <si>
    <t xml:space="preserve">Interactions régulières. Silence → relance → défaut. Enchaînement jusqu'à la durée.</t>
  </si>
  <si>
    <t xml:space="preserve">feat/F-PLY-002-jour</t>
  </si>
  <si>
    <t xml:space="preserve">F-PLY-003</t>
  </si>
  <si>
    <t xml:space="preserve">Mode nuit</t>
  </si>
  <si>
    <t xml:space="preserve">Voix plus basse, pas de son brusque, interactions rares. Silence → fin progressive. On n'affirme pas que l'enfant dort. Pas de nouvel arbre.</t>
  </si>
  <si>
    <t xml:space="preserve">feat/F-PLY-003-nuit</t>
  </si>
  <si>
    <t xml:space="preserve">Hors connexion</t>
  </si>
  <si>
    <t xml:space="preserve">Forêt locale complète sans réseau. Sync de l'historique plus tard, selon consentement.</t>
  </si>
  <si>
    <t xml:space="preserve">F-LOC-002;F-NAR-002</t>
  </si>
  <si>
    <t xml:space="preserve">feat/F-PLY-004-offline</t>
  </si>
  <si>
    <t xml:space="preserve">Compte parent</t>
  </si>
  <si>
    <t xml:space="preserve">18+, responsable de l'enfant, CGU et confidentialité sans case précochée. E-mail vérifié avant gros téléchargement.</t>
  </si>
  <si>
    <t xml:space="preserve">feat/F-ACC-001-compte</t>
  </si>
  <si>
    <t xml:space="preserve">F-ACC-002</t>
  </si>
  <si>
    <t xml:space="preserve">Multi-appareils</t>
  </si>
  <si>
    <t xml:space="preserve">Compte sync. Forêt locale propre à l'appareil. Historique léger partagé pour éviter de rejouer la même branche tout de suite.</t>
  </si>
  <si>
    <t xml:space="preserve">feat/F-ACC-002-multi</t>
  </si>
  <si>
    <t xml:space="preserve">F-ACC-003</t>
  </si>
  <si>
    <t xml:space="preserve">Consentements export suppression</t>
  </si>
  <si>
    <t xml:space="preserve">Export lisible. Suppression profil/compte. Pas d'audio brut conservé par défaut.</t>
  </si>
  <si>
    <t xml:space="preserve">feat/F-ACC-003-consentements</t>
  </si>
  <si>
    <t xml:space="preserve">Onboarding premier lancement</t>
  </si>
  <si>
    <t xml:space="preserve">Âge ou tranche, 4 à 8 leçons max pour commencer, durée 10 min par défaut, Wi-Fi only coché, code parental créé. Explique : parent choisit les leçons, l'app choisit l'histoire.</t>
  </si>
  <si>
    <t xml:space="preserve">F-ACC-001;F-TAX-003;F-SEC-001</t>
  </si>
  <si>
    <t xml:space="preserve">feat/F-ONB-001-onboarding</t>
  </si>
  <si>
    <t xml:space="preserve">Sécurité app</t>
  </si>
  <si>
    <t xml:space="preserve">4 ou 6 chiffres, distinct du mot de passe. 5 erreurs → délai. Réinit via compte, jamais depuis le mode enfant. Biométrie optionnelle.</t>
  </si>
  <si>
    <t xml:space="preserve">feat/F-SEC-001-code</t>
  </si>
  <si>
    <t xml:space="preserve">Cloison mode enfant</t>
  </si>
  <si>
    <t xml:space="preserve">Ni achat, ni réglage, ni lien, ni donnée perso. Sortie = code. Pas de notif commerciale pendant la session.</t>
  </si>
  <si>
    <t xml:space="preserve">feat/F-SEC-002-cloison</t>
  </si>
  <si>
    <t xml:space="preserve">F-A11Y-001</t>
  </si>
  <si>
    <t xml:space="preserve">Accessibilité espace parent</t>
  </si>
  <si>
    <t xml:space="preserve">Dynamic Type, VoiceOver / TalkBack, contrastes, zones de tap. L'espace enfant reste audio-first.</t>
  </si>
  <si>
    <t xml:space="preserve">F-PAR-001</t>
  </si>
  <si>
    <t xml:space="preserve">feat/F-A11Y-001-accessibilite</t>
  </si>
  <si>
    <t xml:space="preserve">Profils</t>
  </si>
  <si>
    <t xml:space="preserve">Profils enfants isolés</t>
  </si>
  <si>
    <t xml:space="preserve">Leçons, forêt, historique, voix, niveau N1/N2/N3 isolés. Notes parentales jamais lues à l'enfant.</t>
  </si>
  <si>
    <t xml:space="preserve">feat/F-PRF-001-profils</t>
  </si>
  <si>
    <t xml:space="preserve">Niveaux N1 N2 N3</t>
  </si>
  <si>
    <t xml:space="preserve">3-4 / 4-5 / 5-6. N1 : 2 choix, phrases courtes. N3 : jusqu'à 3 choix, transfert de leçon.</t>
  </si>
  <si>
    <t xml:space="preserve">feat/F-PRF-002-niveaux</t>
  </si>
  <si>
    <t xml:space="preserve">Forêts</t>
  </si>
  <si>
    <t xml:space="preserve">Filtre âge + leçons + exclusions + priorités. Recalcul si un filtre change. Tous les chemins encore jouables doivent respecter les exclusions.</t>
  </si>
  <si>
    <t xml:space="preserve">F-TAX-003;F-NAR-001</t>
  </si>
  <si>
    <t xml:space="preserve">feat/F-FOR-001-foret-parentale</t>
  </si>
  <si>
    <t xml:space="preserve">F-FOR-002</t>
  </si>
  <si>
    <t xml:space="preserve">Élagage sûr</t>
  </si>
  <si>
    <t xml:space="preserve">Retirer un chemin, jamais une question vers une option disparue. Arbre incohérent retiré.</t>
  </si>
  <si>
    <t xml:space="preserve">feat/F-FOR-002-elagage</t>
  </si>
  <si>
    <t xml:space="preserve">F-FOR-003</t>
  </si>
  <si>
    <t xml:space="preserve">Jauge</t>
  </si>
  <si>
    <t xml:space="preserve">Nb arbres, nb parcours, durée totale / inédite, Mo.</t>
  </si>
  <si>
    <t xml:space="preserve">feat/F-FOR-003-jauge</t>
  </si>
  <si>
    <t xml:space="preserve">F-LOC-001</t>
  </si>
  <si>
    <t xml:space="preserve">Stock</t>
  </si>
  <si>
    <t xml:space="preserve">Politique de stock</t>
  </si>
  <si>
    <t xml:space="preserve">Cible 10/20/50/100, Mo max, Wi-Fi, seuil d'inédits, favoris protégés, nuit. Défaut : 50, seuil 10, Wi-Fi.</t>
  </si>
  <si>
    <t xml:space="preserve">feat/F-LOC-001-politique</t>
  </si>
  <si>
    <t xml:space="preserve">Paquets atomiques</t>
  </si>
  <si>
    <t xml:space="preserve">Manifeste + graphe + audios + checksums. Zone temp, vérif, activation. Échec = ancien intact.</t>
  </si>
  <si>
    <t xml:space="preserve">F-NAR-001;F-AUD-001;F-SCH-001</t>
  </si>
  <si>
    <t xml:space="preserve">feat/F-LOC-002-paquets</t>
  </si>
  <si>
    <t xml:space="preserve">États locaux</t>
  </si>
  <si>
    <t xml:space="preserve">AVAILABLE, IN_PROGRESS, CONSUMED, REPLAYABLE, EVICTION_CANDIDATE, REMOVED, EXCLUDED, DOWNLOAD_PENDING.</t>
  </si>
  <si>
    <t xml:space="preserve">feat/F-LOC-003-etats</t>
  </si>
  <si>
    <t xml:space="preserve">F-REN-001</t>
  </si>
  <si>
    <t xml:space="preserve">Renouvellement auto</t>
  </si>
  <si>
    <t xml:space="preserve">Sous le seuil d'inédits : lot compatible. Sans nouveauté : nouveau cycle remixé.</t>
  </si>
  <si>
    <t xml:space="preserve">F-LOC-001;F-FOR-001</t>
  </si>
  <si>
    <t xml:space="preserve">feat/F-REN-001-renouvellement</t>
  </si>
  <si>
    <t xml:space="preserve">F-REN-002</t>
  </si>
  <si>
    <t xml:space="preserve">Éviction et protections</t>
  </si>
  <si>
    <t xml:space="preserve">Remplacer d'abord : beaucoup écouté, vieux, toutes branches vues, leçon déjà très présente, non favori. Protéger : jamais fini, en cours, favori, DL explicite, unique d'une leçon prioritaire fraîche.</t>
  </si>
  <si>
    <t xml:space="preserve">feat/F-REN-002-eviction</t>
  </si>
  <si>
    <t xml:space="preserve">F-REN-003</t>
  </si>
  <si>
    <t xml:space="preserve">Historique léger sans audio</t>
  </si>
  <si>
    <t xml:space="preserve">Après éviction audio : ids, dates, nœuds, fins, réponses éducatives, avis parent.</t>
  </si>
  <si>
    <t xml:space="preserve">F-HIS-001</t>
  </si>
  <si>
    <t xml:space="preserve">feat/F-REN-003-historique-leger</t>
  </si>
  <si>
    <t xml:space="preserve">Parent</t>
  </si>
  <si>
    <t xml:space="preserve">Tableau de bord</t>
  </si>
  <si>
    <t xml:space="preserve">Stock, inédits, nouveautés, Mo, leçons rencontrées sans note. Notifs configurables, jamais vers l'enfant.</t>
  </si>
  <si>
    <t xml:space="preserve">F-FOR-003;F-SEC-001</t>
  </si>
  <si>
    <t xml:space="preserve">feat/F-PAR-001-dashboard</t>
  </si>
  <si>
    <t xml:space="preserve">F-PAR-002</t>
  </si>
  <si>
    <t xml:space="preserve">Actions sur un arbre</t>
  </si>
  <si>
    <t xml:space="preserve">Préécouter, valider, invalider, signaler, DL, supprimer, favori, réécoute, autre histoire même leçon.</t>
  </si>
  <si>
    <t xml:space="preserve">feat/F-PAR-002-actions</t>
  </si>
  <si>
    <t xml:space="preserve">Préécoute et approbation profil</t>
  </si>
  <si>
    <t xml:space="preserve">Préécoute ≠ écoute enfant. Invalider bloque le retéléchargement auto.</t>
  </si>
  <si>
    <t xml:space="preserve">feat/F-PAR-003-preecoute</t>
  </si>
  <si>
    <t xml:space="preserve">F-PAR-004</t>
  </si>
  <si>
    <t xml:space="preserve">Signalement</t>
  </si>
  <si>
    <t xml:space="preserve">Pédagogique, narratif, audio, juridique, technique, rupture de neutralité.</t>
  </si>
  <si>
    <t xml:space="preserve">feat/F-PAR-004-signalement</t>
  </si>
  <si>
    <t xml:space="preserve">F-PAR-005</t>
  </si>
  <si>
    <t xml:space="preserve">Politique collection vs unitaire</t>
  </si>
  <si>
    <t xml:space="preserve">MVP : collection certifiée + file de préécoute pour le nouveau. Décision APP-001 ouverte.</t>
  </si>
  <si>
    <t xml:space="preserve">feat/F-PAR-005-politique-approb</t>
  </si>
  <si>
    <t xml:space="preserve">F-CUS-001</t>
  </si>
  <si>
    <t xml:space="preserve">Leçon saisie par le parent</t>
  </si>
  <si>
    <t xml:space="preserve">Langage naturel → fiche structurée dans le cadre neutre. Refus médical / religieux / politique / genre / punitif / dangereux. Pas d'accès enfant immédiat.</t>
  </si>
  <si>
    <t xml:space="preserve">P5-Suite</t>
  </si>
  <si>
    <t xml:space="preserve">F-TAX-002;F-NEU-001</t>
  </si>
  <si>
    <t xml:space="preserve">feat/F-CUS-001-lecon-parent</t>
  </si>
  <si>
    <t xml:space="preserve">F-CUS-002</t>
  </si>
  <si>
    <t xml:space="preserve">Isolation leçon parentale</t>
  </si>
  <si>
    <t xml:space="preserve">Invisible aux autres familles tant que non publiable.</t>
  </si>
  <si>
    <t xml:space="preserve">feat/F-CUS-002-isolation</t>
  </si>
  <si>
    <t xml:space="preserve">Production</t>
  </si>
  <si>
    <t xml:space="preserve">Chaîne de génération amont</t>
  </si>
  <si>
    <t xml:space="preserve">Leçons → graphe → textes autorisés → questions → validateurs → (si APPROVED_TEXT) TTS → simulation → paquet. Générateur ≠ publicateur.</t>
  </si>
  <si>
    <t xml:space="preserve">F-NAR-001;F-NEU-001;VAL-PIPE</t>
  </si>
  <si>
    <t xml:space="preserve">feat/F-GEN-001-generation</t>
  </si>
  <si>
    <t xml:space="preserve">Simulateur de chemins</t>
  </si>
  <si>
    <t xml:space="preserve">Tous les racine-feuille. Chemin non simulable = non publié.</t>
  </si>
  <si>
    <t xml:space="preserve">F-GEN-001;VAL-GRAPH-002</t>
  </si>
  <si>
    <t xml:space="preserve">feat/F-GEN-002-simulateur</t>
  </si>
  <si>
    <t xml:space="preserve">F-VAL-002</t>
  </si>
  <si>
    <t xml:space="preserve">Rapport lisible parent</t>
  </si>
  <si>
    <t xml:space="preserve">Français clair : alignement, âge, sécurité pass/fail, durée, « bloquée parce que… ». Version interne technique à part.</t>
  </si>
  <si>
    <t xml:space="preserve">VAL-PIPE</t>
  </si>
  <si>
    <t xml:space="preserve">feat/F-VAL-002-rapport-parent</t>
  </si>
  <si>
    <t xml:space="preserve">Originalité et franchises</t>
  </si>
  <si>
    <t xml:space="preserve">Personnages et intrigues originaux. Pas de marque, pas d'imitation reconnaissable. Contrôle bloquant avant APPROVED_TEXT.</t>
  </si>
  <si>
    <t xml:space="preserve">feat/F-DRT-001-droit</t>
  </si>
  <si>
    <t xml:space="preserve">Audio</t>
  </si>
  <si>
    <t xml:space="preserve">Découpage par nœud</t>
  </si>
  <si>
    <t xml:space="preserve">Raccords propres. Reprise précise. Branches élaguées non téléchargées.</t>
  </si>
  <si>
    <t xml:space="preserve">feat/F-AUD-001-decoupage</t>
  </si>
  <si>
    <t xml:space="preserve">Durée réelle et norme</t>
  </si>
  <si>
    <t xml:space="preserve">Durée stockée par nœud. Volume, pauses avant question, noms distincts, pas de consigne visuelle.</t>
  </si>
  <si>
    <t xml:space="preserve">feat/F-AUD-002-duree</t>
  </si>
  <si>
    <t xml:space="preserve">F-AUD-003</t>
  </si>
  <si>
    <t xml:space="preserve">Voix et vitesse</t>
  </si>
  <si>
    <t xml:space="preserve">Une voix par profil. Pas de changement en cours d'arbre sauf dialogue prévalidé. Vitesse bornée. Pas de voix célèbre.</t>
  </si>
  <si>
    <t xml:space="preserve">F-PRF-001;F-AUD-001</t>
  </si>
  <si>
    <t xml:space="preserve">feat/F-AUD-003-voix</t>
  </si>
  <si>
    <t xml:space="preserve">Suivi</t>
  </si>
  <si>
    <t xml:space="preserve">Journal d'écoute</t>
  </si>
  <si>
    <t xml:space="preserve">Date, durée, arbre, version, nœuds, choix, leçons, fin, mode, interruptions. Pas de note enfant.</t>
  </si>
  <si>
    <t xml:space="preserve">feat/F-HIS-001-journal</t>
  </si>
  <si>
    <t xml:space="preserve">F-HIS-002</t>
  </si>
  <si>
    <t xml:space="preserve">Vue « entendu »</t>
  </si>
  <si>
    <t xml:space="preserve">Leçons vues / jamais vues, favoris, refus. Biais discret de révision, pas de bulletin.</t>
  </si>
  <si>
    <t xml:space="preserve">F-HIS-001;F-PAR-001</t>
  </si>
  <si>
    <t xml:space="preserve">feat/F-HIS-002-vue</t>
  </si>
  <si>
    <t xml:space="preserve">F-ADM-001</t>
  </si>
  <si>
    <t xml:space="preserve">Admin</t>
  </si>
  <si>
    <t xml:space="preserve">Cycle éditorial</t>
  </si>
  <si>
    <t xml:space="preserve">Créer valider publier suspendre retirer. Pas de modif silencieuse. Urgence contenu dangereux.</t>
  </si>
  <si>
    <t xml:space="preserve">feat/F-ADM-001-cycle</t>
  </si>
  <si>
    <t xml:space="preserve">F-ADM-002</t>
  </si>
  <si>
    <t xml:space="preserve">Retrait et flags</t>
  </si>
  <si>
    <t xml:space="preserve">Bloquer DL, purge locale à la synchro. Un flag ne contourne jamais un validateur de sécurité.</t>
  </si>
  <si>
    <t xml:space="preserve">F-ADM-001;VAL-TRACE-002</t>
  </si>
  <si>
    <t xml:space="preserve">feat/F-ADM-002-retrait</t>
  </si>
  <si>
    <t xml:space="preserve">F-ADM-003</t>
  </si>
  <si>
    <t xml:space="preserve">Observabilité</t>
  </si>
  <si>
    <t xml:space="preserve">Logs minces : versions, erreurs DL, codes validation. Rejeu par id de version + décisions.</t>
  </si>
  <si>
    <t xml:space="preserve">feat/F-ADM-003-observabilite</t>
  </si>
  <si>
    <t xml:space="preserve">Confidentialité</t>
  </si>
  <si>
    <t xml:space="preserve">Minimisation</t>
  </si>
  <si>
    <t xml:space="preserve">Séparer compte parent / événements enfant. Local-first vocal. Pas de pub enfant. Conformité mineurs avant store.</t>
  </si>
  <si>
    <t xml:space="preserve">feat/F-PRI-001-privacy</t>
  </si>
  <si>
    <t xml:space="preserve">Plateforme</t>
  </si>
  <si>
    <t xml:space="preserve">iOS / Android et budget disque</t>
  </si>
  <si>
    <t xml:space="preserve">MVP deux stores. Paquet type &lt; 15 Mo. Avertir sous 500 Mo libres. Téléchargement Wi-Fi par défaut.</t>
  </si>
  <si>
    <t xml:space="preserve">feat/F-PLT-001-stores</t>
  </si>
  <si>
    <t xml:space="preserve">F-V2-001</t>
  </si>
  <si>
    <t xml:space="preserve">V2</t>
  </si>
  <si>
    <t xml:space="preserve">Corpus neutre d'entraînement</t>
  </si>
  <si>
    <t xml:space="preserve">Chaque arbre publié alimente un corpus fermé. Hors MVP.</t>
  </si>
  <si>
    <t xml:space="preserve">P6-V2</t>
  </si>
  <si>
    <t xml:space="preserve">F-GEN-001;F-NEU-001</t>
  </si>
  <si>
    <t xml:space="preserve">feat/F-V2-001-corpus</t>
  </si>
  <si>
    <t xml:space="preserve">F-V2-002</t>
  </si>
  <si>
    <t xml:space="preserve">Mini-LLM borné à l'histoire</t>
  </si>
  <si>
    <t xml:space="preserve">Questions sur le récit en cours seulement. Hors sujet : phrase fixe vers papa ou maman.</t>
  </si>
  <si>
    <t xml:space="preserve">feat/F-V2-002-mini-llm</t>
  </si>
  <si>
    <t xml:space="preserve">F-V2-003</t>
  </si>
  <si>
    <t xml:space="preserve">Voice-to-voice</t>
  </si>
  <si>
    <t xml:space="preserve">Dernière étape volontaire. Pas un argument de vente MVP.</t>
  </si>
  <si>
    <t xml:space="preserve">P7-V2</t>
  </si>
  <si>
    <t xml:space="preserve">feat/F-V2-003-v2v</t>
  </si>
  <si>
    <t xml:space="preserve">Domaine</t>
  </si>
  <si>
    <t xml:space="preserve">Intention</t>
  </si>
  <si>
    <t xml:space="preserve">Sous-domaines</t>
  </si>
  <si>
    <t xml:space="preserve">Nb leçons</t>
  </si>
  <si>
    <t xml:space="preserve">Nb pilote</t>
  </si>
  <si>
    <t xml:space="preserve">Décors</t>
  </si>
  <si>
    <t xml:space="preserve">SAN</t>
  </si>
  <si>
    <t xml:space="preserve">Santé et quotidien</t>
  </si>
  <si>
    <t xml:space="preserve">Prendre soin de son corps.</t>
  </si>
  <si>
    <t xml:space="preserve">Alim, hygiène, sommeil, bouger, écrans</t>
  </si>
  <si>
    <t xml:space="preserve">Maison, repas, soir</t>
  </si>
  <si>
    <t xml:space="preserve">SEC</t>
  </si>
  <si>
    <t xml:space="preserve">Sécurité</t>
  </si>
  <si>
    <t xml:space="preserve">Où mettre le corps, qui appeler.</t>
  </si>
  <si>
    <t xml:space="preserve">Rue, maison, parc, adulte</t>
  </si>
  <si>
    <t xml:space="preserve">Rue, maison, magasin, parc</t>
  </si>
  <si>
    <t xml:space="preserve">EMO</t>
  </si>
  <si>
    <t xml:space="preserve">Émotions</t>
  </si>
  <si>
    <t xml:space="preserve">Nommer et choisir un geste sûr.</t>
  </si>
  <si>
    <t xml:space="preserve">Lexique, geste</t>
  </si>
  <si>
    <t xml:space="preserve">Après un petit problème</t>
  </si>
  <si>
    <t xml:space="preserve">REL</t>
  </si>
  <si>
    <t xml:space="preserve">Relations</t>
  </si>
  <si>
    <t xml:space="preserve">Vivre avec les autres sans se faire mal.</t>
  </si>
  <si>
    <t xml:space="preserve">Partage, conflit, amitié, moqueries</t>
  </si>
  <si>
    <t xml:space="preserve">Parc, école, maison</t>
  </si>
  <si>
    <t xml:space="preserve">DIF</t>
  </si>
  <si>
    <t xml:space="preserve">Différences du quotidien</t>
  </si>
  <si>
    <t xml:space="preserve">Ne pas se moquer. Jouer avec.</t>
  </si>
  <si>
    <t xml:space="preserve">Corps, parole, énergie, besoins</t>
  </si>
  <si>
    <t xml:space="preserve">Parc, école</t>
  </si>
  <si>
    <t xml:space="preserve">AUT</t>
  </si>
  <si>
    <t xml:space="preserve">Autonomie</t>
  </si>
  <si>
    <t xml:space="preserve">S'occuper de ses affaires.</t>
  </si>
  <si>
    <t xml:space="preserve">Affaires, rangement, routines</t>
  </si>
  <si>
    <t xml:space="preserve">Départ, retour</t>
  </si>
  <si>
    <t xml:space="preserve">FAM</t>
  </si>
  <si>
    <t xml:space="preserve">Famille et confiance</t>
  </si>
  <si>
    <t xml:space="preserve">Parler à papa et maman.</t>
  </si>
  <si>
    <t xml:space="preserve">Vérité, surprise/secret, aide</t>
  </si>
  <si>
    <t xml:space="preserve">Maison</t>
  </si>
  <si>
    <t xml:space="preserve">COL</t>
  </si>
  <si>
    <t xml:space="preserve">Vie collective</t>
  </si>
  <si>
    <t xml:space="preserve">Mots et règles de la classe.</t>
  </si>
  <si>
    <t xml:space="preserve">Politesse, école</t>
  </si>
  <si>
    <t xml:space="preserve">École</t>
  </si>
  <si>
    <t xml:space="preserve">VIV</t>
  </si>
  <si>
    <t xml:space="preserve">Monde vivant</t>
  </si>
  <si>
    <t xml:space="preserve">Noms, cris, petits, soin.</t>
  </si>
  <si>
    <t xml:space="preserve">Animaux, plantes</t>
  </si>
  <si>
    <t xml:space="preserve">Ferme, jardin</t>
  </si>
  <si>
    <t xml:space="preserve">TMP</t>
  </si>
  <si>
    <t xml:space="preserve">Temps et nature</t>
  </si>
  <si>
    <t xml:space="preserve">Jour, semaine, année.</t>
  </si>
  <si>
    <t xml:space="preserve">Jour/nuit, semaine, mois, saisons, météo</t>
  </si>
  <si>
    <t xml:space="preserve">Fenêtre, manteau</t>
  </si>
  <si>
    <t xml:space="preserve">SOC</t>
  </si>
  <si>
    <t xml:space="preserve">Vie concrète</t>
  </si>
  <si>
    <t xml:space="preserve">Métiers, argent, transports, cuisine.</t>
  </si>
  <si>
    <t xml:space="preserve">Transports, métiers, argent, cuisine, lieux</t>
  </si>
  <si>
    <t xml:space="preserve">Gare, marché, cuisine</t>
  </si>
  <si>
    <t xml:space="preserve">JEU</t>
  </si>
  <si>
    <t xml:space="preserve">Jeux et sport</t>
  </si>
  <si>
    <t xml:space="preserve">Jouer ensemble, accepter le résultat.</t>
  </si>
  <si>
    <t xml:space="preserve">Ballon, foot, basket, règles</t>
  </si>
  <si>
    <t xml:space="preserve">Parc, récré</t>
  </si>
  <si>
    <t xml:space="preserve">LAN</t>
  </si>
  <si>
    <t xml:space="preserve">Langage et logique</t>
  </si>
  <si>
    <t xml:space="preserve">Nommer, classer, compter.</t>
  </si>
  <si>
    <t xml:space="preserve">Mots, nombres, sons</t>
  </si>
  <si>
    <t xml:space="preserve">Cuisine, trajet</t>
  </si>
  <si>
    <t xml:space="preserve">Sous-domaine</t>
  </si>
  <si>
    <t xml:space="preserve">SAN.ALI</t>
  </si>
  <si>
    <t xml:space="preserve">Alimentation</t>
  </si>
  <si>
    <t xml:space="preserve">SAN.HYG</t>
  </si>
  <si>
    <t xml:space="preserve">Hygiène</t>
  </si>
  <si>
    <t xml:space="preserve">SAN.SOM</t>
  </si>
  <si>
    <t xml:space="preserve">Sommeil</t>
  </si>
  <si>
    <t xml:space="preserve">SAN.MOV</t>
  </si>
  <si>
    <t xml:space="preserve">Bouger</t>
  </si>
  <si>
    <t xml:space="preserve">SAN.ECR</t>
  </si>
  <si>
    <t xml:space="preserve">Écrans</t>
  </si>
  <si>
    <t xml:space="preserve">SEC.RUE</t>
  </si>
  <si>
    <t xml:space="preserve">Rue et trajet</t>
  </si>
  <si>
    <t xml:space="preserve">SEC.MAI</t>
  </si>
  <si>
    <t xml:space="preserve">SEC.PAR</t>
  </si>
  <si>
    <t xml:space="preserve">Parc et dehors</t>
  </si>
  <si>
    <t xml:space="preserve">SEC.ADU</t>
  </si>
  <si>
    <t xml:space="preserve">Aller vers un adulte</t>
  </si>
  <si>
    <t xml:space="preserve">EMO.LEX</t>
  </si>
  <si>
    <t xml:space="preserve">Nommer l'émotion</t>
  </si>
  <si>
    <t xml:space="preserve">EMO.GES</t>
  </si>
  <si>
    <t xml:space="preserve">Geste sûr</t>
  </si>
  <si>
    <t xml:space="preserve">REL.PAR</t>
  </si>
  <si>
    <t xml:space="preserve">Partage et tour</t>
  </si>
  <si>
    <t xml:space="preserve">REL.CON</t>
  </si>
  <si>
    <t xml:space="preserve">Conflit</t>
  </si>
  <si>
    <t xml:space="preserve">REL.AMI</t>
  </si>
  <si>
    <t xml:space="preserve">Amitié</t>
  </si>
  <si>
    <t xml:space="preserve">REL.MOQ</t>
  </si>
  <si>
    <t xml:space="preserve">Moqueries</t>
  </si>
  <si>
    <t xml:space="preserve">DIF.COR</t>
  </si>
  <si>
    <t xml:space="preserve">Corps</t>
  </si>
  <si>
    <t xml:space="preserve">DIF.PAR</t>
  </si>
  <si>
    <t xml:space="preserve">Parole et timidité</t>
  </si>
  <si>
    <t xml:space="preserve">DIF.ENE</t>
  </si>
  <si>
    <t xml:space="preserve">Énergie</t>
  </si>
  <si>
    <t xml:space="preserve">DIF.BES</t>
  </si>
  <si>
    <t xml:space="preserve">Besoins concrets</t>
  </si>
  <si>
    <t xml:space="preserve">AUT.AFF</t>
  </si>
  <si>
    <t xml:space="preserve">Affaires</t>
  </si>
  <si>
    <t xml:space="preserve">AUT.RAN</t>
  </si>
  <si>
    <t xml:space="preserve">Rangement</t>
  </si>
  <si>
    <t xml:space="preserve">AUT.ROU</t>
  </si>
  <si>
    <t xml:space="preserve">Routines</t>
  </si>
  <si>
    <t xml:space="preserve">FAM.VER</t>
  </si>
  <si>
    <t xml:space="preserve">Vérité</t>
  </si>
  <si>
    <t xml:space="preserve">FAM.SEC</t>
  </si>
  <si>
    <t xml:space="preserve">Surprise et secret</t>
  </si>
  <si>
    <t xml:space="preserve">FAM.AID</t>
  </si>
  <si>
    <t xml:space="preserve">Demander de l'aide</t>
  </si>
  <si>
    <t xml:space="preserve">COL.POL</t>
  </si>
  <si>
    <t xml:space="preserve">Politesse</t>
  </si>
  <si>
    <t xml:space="preserve">COL.ECO</t>
  </si>
  <si>
    <t xml:space="preserve">VIV.ANI</t>
  </si>
  <si>
    <t xml:space="preserve">Animaux</t>
  </si>
  <si>
    <t xml:space="preserve">VIV.PLA</t>
  </si>
  <si>
    <t xml:space="preserve">Plantes</t>
  </si>
  <si>
    <t xml:space="preserve">TMP.JOU</t>
  </si>
  <si>
    <t xml:space="preserve">Jour et nuit</t>
  </si>
  <si>
    <t xml:space="preserve">TMP.SEM</t>
  </si>
  <si>
    <t xml:space="preserve">Semaine</t>
  </si>
  <si>
    <t xml:space="preserve">TMP.MOI</t>
  </si>
  <si>
    <t xml:space="preserve">Mois</t>
  </si>
  <si>
    <t xml:space="preserve">TMP.SAI</t>
  </si>
  <si>
    <t xml:space="preserve">Saisons</t>
  </si>
  <si>
    <t xml:space="preserve">TMP.MET</t>
  </si>
  <si>
    <t xml:space="preserve">Météo</t>
  </si>
  <si>
    <t xml:space="preserve">SOC.TRA</t>
  </si>
  <si>
    <t xml:space="preserve">Transports</t>
  </si>
  <si>
    <t xml:space="preserve">SOC.MET</t>
  </si>
  <si>
    <t xml:space="preserve">Métiers</t>
  </si>
  <si>
    <t xml:space="preserve">SOC.ARG</t>
  </si>
  <si>
    <t xml:space="preserve">Argent</t>
  </si>
  <si>
    <t xml:space="preserve">SOC.CUI</t>
  </si>
  <si>
    <t xml:space="preserve">Cuisine</t>
  </si>
  <si>
    <t xml:space="preserve">SOC.PAY</t>
  </si>
  <si>
    <t xml:space="preserve">Lieux</t>
  </si>
  <si>
    <t xml:space="preserve">JEU.BAL</t>
  </si>
  <si>
    <t xml:space="preserve">Jeux collectifs</t>
  </si>
  <si>
    <t xml:space="preserve">JEU.REG</t>
  </si>
  <si>
    <t xml:space="preserve">Règles</t>
  </si>
  <si>
    <t xml:space="preserve">LAN.MOT</t>
  </si>
  <si>
    <t xml:space="preserve">Mots</t>
  </si>
  <si>
    <t xml:space="preserve">LAN.NOM</t>
  </si>
  <si>
    <t xml:space="preserve">Nombres</t>
  </si>
  <si>
    <t xml:space="preserve">LAN.SON</t>
  </si>
  <si>
    <t xml:space="preserve">Sons</t>
  </si>
  <si>
    <t xml:space="preserve">Domaine ID</t>
  </si>
  <si>
    <t xml:space="preserve">Sous ID</t>
  </si>
  <si>
    <t xml:space="preserve">Leçon ID</t>
  </si>
  <si>
    <t xml:space="preserve">Objectif</t>
  </si>
  <si>
    <t xml:space="preserve">Framing</t>
  </si>
  <si>
    <t xml:space="preserve">Vague</t>
  </si>
  <si>
    <t xml:space="preserve">required_messages</t>
  </si>
  <si>
    <t xml:space="preserve">safe_actions</t>
  </si>
  <si>
    <t xml:space="preserve">misconceptions</t>
  </si>
  <si>
    <t xml:space="preserve">forbidden_in_audio</t>
  </si>
  <si>
    <t xml:space="preserve">answer_intents</t>
  </si>
  <si>
    <t xml:space="preserve">sensitivity</t>
  </si>
  <si>
    <t xml:space="preserve">SAN.ALI.001</t>
  </si>
  <si>
    <t xml:space="preserve">Goûter un légume</t>
  </si>
  <si>
    <t xml:space="preserve">Goûter une petite portion et nommer le goût, sans chantage.</t>
  </si>
  <si>
    <t xml:space="preserve">standard</t>
  </si>
  <si>
    <t xml:space="preserve">V1-pilote</t>
  </si>
  <si>
    <t xml:space="preserve">goûter;petite portion;nommer le goût</t>
  </si>
  <si>
    <t xml:space="preserve">prendre une petite bouchée;dire le goût à papa ou maman</t>
  </si>
  <si>
    <t xml:space="preserve">il faut tout finir;on force</t>
  </si>
  <si>
    <t xml:space="preserve">humiliation;chantage dessert</t>
  </si>
  <si>
    <t xml:space="preserve">GOUTER;PETITE_BOUCHEE</t>
  </si>
  <si>
    <t xml:space="preserve">SAN.ALI.002</t>
  </si>
  <si>
    <t xml:space="preserve">S'asseoir pour manger</t>
  </si>
  <si>
    <t xml:space="preserve">Manger assis à table avec la famille.</t>
  </si>
  <si>
    <t xml:space="preserve">V1</t>
  </si>
  <si>
    <t xml:space="preserve">assis;table;ensemble</t>
  </si>
  <si>
    <t xml:space="preserve">s'asseoir;poser les fesses sur la chaise</t>
  </si>
  <si>
    <t xml:space="preserve">manger en courant est bien</t>
  </si>
  <si>
    <t xml:space="preserve">moquerie de l'appétit</t>
  </si>
  <si>
    <t xml:space="preserve">ASSISE;TABLE</t>
  </si>
  <si>
    <t xml:space="preserve">SAN.ALI.003</t>
  </si>
  <si>
    <t xml:space="preserve">Boire de l'eau</t>
  </si>
  <si>
    <t xml:space="preserve">Quand on a soif, on boit de l'eau dans un verre.</t>
  </si>
  <si>
    <t xml:space="preserve">V1.1</t>
  </si>
  <si>
    <t xml:space="preserve">eau;verre;soif</t>
  </si>
  <si>
    <t xml:space="preserve">prendre le verre d'eau</t>
  </si>
  <si>
    <t xml:space="preserve">toute boisson convient</t>
  </si>
  <si>
    <t xml:space="preserve">EAU;VERRE</t>
  </si>
  <si>
    <t xml:space="preserve">SAN.HYG.001</t>
  </si>
  <si>
    <t xml:space="preserve">Se laver les mains</t>
  </si>
  <si>
    <t xml:space="preserve">Avant de manger et après les toilettes, savon et eau.</t>
  </si>
  <si>
    <t xml:space="preserve">savon;avant de manger;après les toilettes</t>
  </si>
  <si>
    <t xml:space="preserve">ouvrir l'eau;savon;rincer;essuyer</t>
  </si>
  <si>
    <t xml:space="preserve">eau seule suffit toujours</t>
  </si>
  <si>
    <t xml:space="preserve">SAVON;MAINS</t>
  </si>
  <si>
    <t xml:space="preserve">SAN.HYG.002</t>
  </si>
  <si>
    <t xml:space="preserve">Se brosser les dents</t>
  </si>
  <si>
    <t xml:space="preserve">Matin et soir avec papa ou maman.</t>
  </si>
  <si>
    <t xml:space="preserve">matin;soir;brosse;adulte</t>
  </si>
  <si>
    <t xml:space="preserve">prendre la brosse;brosser avec l'adulte</t>
  </si>
  <si>
    <t xml:space="preserve">une fois par semaine suffit</t>
  </si>
  <si>
    <t xml:space="preserve">BROSSE;MATIN_SOIR</t>
  </si>
  <si>
    <t xml:space="preserve">SAN.HYG.003</t>
  </si>
  <si>
    <t xml:space="preserve">Se moucher</t>
  </si>
  <si>
    <t xml:space="preserve">Mouchoir puis poubelle.</t>
  </si>
  <si>
    <t xml:space="preserve">mouchoir;poubelle</t>
  </si>
  <si>
    <t xml:space="preserve">prendre un mouchoir;jeter</t>
  </si>
  <si>
    <t xml:space="preserve">MOUCHOIR</t>
  </si>
  <si>
    <t xml:space="preserve">SAN.SOM.001</t>
  </si>
  <si>
    <t xml:space="preserve">Aller se coucher</t>
  </si>
  <si>
    <t xml:space="preserve">Pyjama, histoire, dodo. Le corps a besoin de dormir.</t>
  </si>
  <si>
    <t xml:space="preserve">soir;pyjama;dodo</t>
  </si>
  <si>
    <t xml:space="preserve">mettre le pyjama;se coucher</t>
  </si>
  <si>
    <t xml:space="preserve">dormir est une punition</t>
  </si>
  <si>
    <t xml:space="preserve">PYJAMA;LIT</t>
  </si>
  <si>
    <t xml:space="preserve">SAN.MOV.001</t>
  </si>
  <si>
    <t xml:space="preserve">Jouer dehors un moment</t>
  </si>
  <si>
    <t xml:space="preserve">Bouger au parc ou au jardin avec un adulte.</t>
  </si>
  <si>
    <t xml:space="preserve">dehors;avec un adulte</t>
  </si>
  <si>
    <t xml:space="preserve">aller au parc avec papa ou maman</t>
  </si>
  <si>
    <t xml:space="preserve">DEHORS;AVEC_ADULTE</t>
  </si>
  <si>
    <t xml:space="preserve">SAN.ECR.001</t>
  </si>
  <si>
    <t xml:space="preserve">Arrêter l'écran quand on dit stop</t>
  </si>
  <si>
    <t xml:space="preserve">Papa ou maman dit fini : on éteint, on prend un autre jeu.</t>
  </si>
  <si>
    <t xml:space="preserve">éteindre;autre jeu;adulte dit fini</t>
  </si>
  <si>
    <t xml:space="preserve">éteindre;choisir un jeu</t>
  </si>
  <si>
    <t xml:space="preserve">on négocie sans fin</t>
  </si>
  <si>
    <t xml:space="preserve">menace affective</t>
  </si>
  <si>
    <t xml:space="preserve">ETEINDRE;AUTRE_JEU</t>
  </si>
  <si>
    <t xml:space="preserve">SEC.RUE.001</t>
  </si>
  <si>
    <t xml:space="preserve">S'arrêter au bord du trottoir</t>
  </si>
  <si>
    <t xml:space="preserve">On s'arrête avant la chaussée. Pieds sur le trottoir.</t>
  </si>
  <si>
    <t xml:space="preserve">positive_only_critical</t>
  </si>
  <si>
    <t xml:space="preserve">trottoir;s'arrêter;pieds au bord</t>
  </si>
  <si>
    <t xml:space="preserve">s'arrêter;pieds sur le trottoir;attendre l'adulte</t>
  </si>
  <si>
    <t xml:space="preserve">on avance dès qu'on voit le passage</t>
  </si>
  <si>
    <t xml:space="preserve">décrire une course sur la chaussée</t>
  </si>
  <si>
    <t xml:space="preserve">TROTTOIR;ARRETER</t>
  </si>
  <si>
    <t xml:space="preserve">enhanced</t>
  </si>
  <si>
    <t xml:space="preserve">SEC.RUE.002</t>
  </si>
  <si>
    <t xml:space="preserve">Attendre le feu vert avec l'adulte</t>
  </si>
  <si>
    <t xml:space="preserve">Feu vert piéton, main, on traverse avec l'adulte.</t>
  </si>
  <si>
    <t xml:space="preserve">feu vert;main;adulte;trottoir en attendant</t>
  </si>
  <si>
    <t xml:space="preserve">attendre le feu vert;donner la main;avancer avec l'adulte</t>
  </si>
  <si>
    <t xml:space="preserve">un bruit suffit;l'enfant décide seul</t>
  </si>
  <si>
    <t xml:space="preserve">proposer d'avancer au rouge comme option</t>
  </si>
  <si>
    <t xml:space="preserve">FEU_VERT;MAIN;AVEC_ADULTE</t>
  </si>
  <si>
    <t xml:space="preserve">SEC.RUE.003</t>
  </si>
  <si>
    <t xml:space="preserve">Rester près de l'adulte dans la rue</t>
  </si>
  <si>
    <t xml:space="preserve">On marche près de papa ou maman, main ou manteau.</t>
  </si>
  <si>
    <t xml:space="preserve">près de l'adulte;main ou manteau</t>
  </si>
  <si>
    <t xml:space="preserve">tenir la main;marcher à côté</t>
  </si>
  <si>
    <t xml:space="preserve">devant tout seul est plus grand</t>
  </si>
  <si>
    <t xml:space="preserve">PRES_ADULTE;MAIN</t>
  </si>
  <si>
    <t xml:space="preserve">SEC.MAI.001</t>
  </si>
  <si>
    <t xml:space="preserve">Les prises sont pour les adultes</t>
  </si>
  <si>
    <t xml:space="preserve">Lumière ou prise : on appelle un adulte. Mains avec les jouets.</t>
  </si>
  <si>
    <t xml:space="preserve">appeler un adulte;mains avec les jouets</t>
  </si>
  <si>
    <t xml:space="preserve">appeler papa ou maman;garder les mains avec les jouets</t>
  </si>
  <si>
    <t xml:space="preserve">décrire un objet dans une prise</t>
  </si>
  <si>
    <t xml:space="preserve">APPELER_ADULTE;MAINS_JOUETS</t>
  </si>
  <si>
    <t xml:space="preserve">SEC.MAI.002</t>
  </si>
  <si>
    <t xml:space="preserve">Demander avant de goûter l'inconnu</t>
  </si>
  <si>
    <t xml:space="preserve">Avant de toucher ou goûter ce qu'on ne connaît pas : papa ou maman.</t>
  </si>
  <si>
    <t xml:space="preserve">demander;inconnu;adulte</t>
  </si>
  <si>
    <t xml:space="preserve">demander à papa ou maman</t>
  </si>
  <si>
    <t xml:space="preserve">lister des produits dangereux</t>
  </si>
  <si>
    <t xml:space="preserve">DEMANDER;ADULTE</t>
  </si>
  <si>
    <t xml:space="preserve">SEC.MAI.003</t>
  </si>
  <si>
    <t xml:space="preserve">Balcon : pieds au sol avec un adulte</t>
  </si>
  <si>
    <t xml:space="preserve">Derrière la protection, pieds au sol, avec un adulte.</t>
  </si>
  <si>
    <t xml:space="preserve">pieds au sol;protection;adulte</t>
  </si>
  <si>
    <t xml:space="preserve">rester derrière la protection;pieds au sol;avec un adulte</t>
  </si>
  <si>
    <t xml:space="preserve">décrire un saut ou une descente</t>
  </si>
  <si>
    <t xml:space="preserve">PIEDS_SOL;AVEC_ADULTE</t>
  </si>
  <si>
    <t xml:space="preserve">SEC.PAR.001</t>
  </si>
  <si>
    <t xml:space="preserve">Jouer là où l'adulte peut voir</t>
  </si>
  <si>
    <t xml:space="preserve">On reste dans l'espace montré par papa ou maman.</t>
  </si>
  <si>
    <t xml:space="preserve">espace montré;adulte voit</t>
  </si>
  <si>
    <t xml:space="preserve">jouer là où l'adulte a dit</t>
  </si>
  <si>
    <t xml:space="preserve">plus loin tout seul</t>
  </si>
  <si>
    <t xml:space="preserve">ESPACE_MONTRE;ADULTE_VOIT</t>
  </si>
  <si>
    <t xml:space="preserve">SEC.ADU.001</t>
  </si>
  <si>
    <t xml:space="preserve">Chercher papa, maman ou la maîtresse</t>
  </si>
  <si>
    <t xml:space="preserve">Peur ou perdu au magasin : on va vers papa, maman ou la maîtresse.</t>
  </si>
  <si>
    <t xml:space="preserve">papa;maman;maîtresse</t>
  </si>
  <si>
    <t xml:space="preserve">aller vers papa ou maman ou la maîtresse</t>
  </si>
  <si>
    <t xml:space="preserve">suivre n'importe qui qui sourit</t>
  </si>
  <si>
    <t xml:space="preserve">décrire un inconnu qui emmène</t>
  </si>
  <si>
    <t xml:space="preserve">PAPA_MAMAN;MAITRESSE</t>
  </si>
  <si>
    <t xml:space="preserve">SEC.ADU.002</t>
  </si>
  <si>
    <t xml:space="preserve">Rester avec l'adulte connu</t>
  </si>
  <si>
    <t xml:space="preserve">On reste avec la personne de la famille ou de l'école qui nous accompagne.</t>
  </si>
  <si>
    <t xml:space="preserve">rester avec l'accompagnant</t>
  </si>
  <si>
    <t xml:space="preserve">rester à côté de l'adulte connu</t>
  </si>
  <si>
    <t xml:space="preserve">RESTER_AVEC</t>
  </si>
  <si>
    <t xml:space="preserve">EMO.LEX.001</t>
  </si>
  <si>
    <t xml:space="preserve">Être content</t>
  </si>
  <si>
    <t xml:space="preserve">Nommer la joie et la partager sans écraser l'autre.</t>
  </si>
  <si>
    <t xml:space="preserve">emotional</t>
  </si>
  <si>
    <t xml:space="preserve">content;joie;partager</t>
  </si>
  <si>
    <t xml:space="preserve">dire je suis content;sourire;inviter</t>
  </si>
  <si>
    <t xml:space="preserve">être content = être meilleur</t>
  </si>
  <si>
    <t xml:space="preserve">CONTENT;JOIE</t>
  </si>
  <si>
    <t xml:space="preserve">EMO.LEX.002</t>
  </si>
  <si>
    <t xml:space="preserve">Être triste</t>
  </si>
  <si>
    <t xml:space="preserve">Pleurer est permis. On peut demander un câlin.</t>
  </si>
  <si>
    <t xml:space="preserve">triste;pleurer permis;câlin</t>
  </si>
  <si>
    <t xml:space="preserve">dire je suis triste;demander un câlin</t>
  </si>
  <si>
    <t xml:space="preserve">les grands ne pleurent pas</t>
  </si>
  <si>
    <t xml:space="preserve">humiliation des larmes</t>
  </si>
  <si>
    <t xml:space="preserve">TRISTE;CALIN</t>
  </si>
  <si>
    <t xml:space="preserve">EMO.LEX.003</t>
  </si>
  <si>
    <t xml:space="preserve">Être déçu</t>
  </si>
  <si>
    <t xml:space="preserve">Un souhait peut attendre. On nomme et on cherche une autre idée.</t>
  </si>
  <si>
    <t xml:space="preserve">déçu;autre idée</t>
  </si>
  <si>
    <t xml:space="preserve">dire je suis déçu;proposer autre chose</t>
  </si>
  <si>
    <t xml:space="preserve">colère obligatoire</t>
  </si>
  <si>
    <t xml:space="preserve">DECU;AUTRE_IDEE</t>
  </si>
  <si>
    <t xml:space="preserve">EMO.LEX.004</t>
  </si>
  <si>
    <t xml:space="preserve">Être surpris</t>
  </si>
  <si>
    <t xml:space="preserve">On respire et on comprend avant d'agir.</t>
  </si>
  <si>
    <t xml:space="preserve">surpris;respirer;comprendre</t>
  </si>
  <si>
    <t xml:space="preserve">souffler;regarder</t>
  </si>
  <si>
    <t xml:space="preserve">SURPRIS;SOUFFLER</t>
  </si>
  <si>
    <t xml:space="preserve">EMO.LEX.005</t>
  </si>
  <si>
    <t xml:space="preserve">Être en colère</t>
  </si>
  <si>
    <t xml:space="preserve">On nomme. Mains loin de l'autre. On s'éloigne, on souffle, on va vers un adulte.</t>
  </si>
  <si>
    <t xml:space="preserve">colère;mains loin;s'éloigner;adulte</t>
  </si>
  <si>
    <t xml:space="preserve">dire je suis en colère;s'éloigner;souffler;aller vers un adulte</t>
  </si>
  <si>
    <t xml:space="preserve">frapper est normal si on est en colère</t>
  </si>
  <si>
    <t xml:space="preserve">mode d'emploi pour frapper</t>
  </si>
  <si>
    <t xml:space="preserve">COLERE;ELOIGNER;ADULTE</t>
  </si>
  <si>
    <t xml:space="preserve">EMO.LEX.006</t>
  </si>
  <si>
    <t xml:space="preserve">Être inquiet</t>
  </si>
  <si>
    <t xml:space="preserve">Ventre serré : on rejoint un adulte et on raconte.</t>
  </si>
  <si>
    <t xml:space="preserve">inquiet;adulte;raconter</t>
  </si>
  <si>
    <t xml:space="preserve">aller vers papa ou maman;raconter</t>
  </si>
  <si>
    <t xml:space="preserve">INQUIET;RACONTER</t>
  </si>
  <si>
    <t xml:space="preserve">EMO.LEX.007</t>
  </si>
  <si>
    <t xml:space="preserve">Être nerveux</t>
  </si>
  <si>
    <t xml:space="preserve">Le corps n'arrive pas à tenir : on demande une pause.</t>
  </si>
  <si>
    <t xml:space="preserve">nerveux;pause</t>
  </si>
  <si>
    <t xml:space="preserve">demander une pause;s'asseoir</t>
  </si>
  <si>
    <t xml:space="preserve">nerveux = vilain</t>
  </si>
  <si>
    <t xml:space="preserve">étiquette hyperactif comme insulte</t>
  </si>
  <si>
    <t xml:space="preserve">NERVEUX;PAUSE</t>
  </si>
  <si>
    <t xml:space="preserve">EMO.LEX.008</t>
  </si>
  <si>
    <t xml:space="preserve">Être gêné</t>
  </si>
  <si>
    <t xml:space="preserve">Une erreur ne définit pas l'enfant. On dit et on répare.</t>
  </si>
  <si>
    <t xml:space="preserve">gêné;erreur;réparer</t>
  </si>
  <si>
    <t xml:space="preserve">dire;réparer</t>
  </si>
  <si>
    <t xml:space="preserve">honte comme identité</t>
  </si>
  <si>
    <t xml:space="preserve">GENE;REPARER</t>
  </si>
  <si>
    <t xml:space="preserve">EMO.LEX.009</t>
  </si>
  <si>
    <t xml:space="preserve">Être jaloux</t>
  </si>
  <si>
    <t xml:space="preserve">On nomme l'envie. On demande un tour. On ne prend pas de force.</t>
  </si>
  <si>
    <t xml:space="preserve">jaloux;demander un tour</t>
  </si>
  <si>
    <t xml:space="preserve">dire;attendre;demander</t>
  </si>
  <si>
    <t xml:space="preserve">prendre le jouet règle l'envie</t>
  </si>
  <si>
    <t xml:space="preserve">JALOUX;TOUR</t>
  </si>
  <si>
    <t xml:space="preserve">EMO.LEX.010</t>
  </si>
  <si>
    <t xml:space="preserve">Être fier</t>
  </si>
  <si>
    <t xml:space="preserve">Content d'un effort, sans rabaisser l'autre.</t>
  </si>
  <si>
    <t xml:space="preserve">fier;effort</t>
  </si>
  <si>
    <t xml:space="preserve">dire je suis fier de mon effort</t>
  </si>
  <si>
    <t xml:space="preserve">fier = supérieur</t>
  </si>
  <si>
    <t xml:space="preserve">FIER;EFFORT</t>
  </si>
  <si>
    <t xml:space="preserve">EMO.GES.001</t>
  </si>
  <si>
    <t xml:space="preserve">Dire stop et s'éloigner</t>
  </si>
  <si>
    <t xml:space="preserve">Quand c'est trop : stop, distance, adulte.</t>
  </si>
  <si>
    <t xml:space="preserve">stop;s'éloigner;adulte</t>
  </si>
  <si>
    <t xml:space="preserve">dire stop;s'éloigner;aller vers un adulte</t>
  </si>
  <si>
    <t xml:space="preserve">rester et encaisser</t>
  </si>
  <si>
    <t xml:space="preserve">STOP;ELOIGNER;ADULTE</t>
  </si>
  <si>
    <t xml:space="preserve">EMO.GES.002</t>
  </si>
  <si>
    <t xml:space="preserve">Respirer et faire une pause</t>
  </si>
  <si>
    <t xml:space="preserve">Souffler, s'asseoir, reprendre.</t>
  </si>
  <si>
    <t xml:space="preserve">souffler;pause</t>
  </si>
  <si>
    <t xml:space="preserve">souffler;s'asseoir</t>
  </si>
  <si>
    <t xml:space="preserve">SOUFFLER;PAUSE</t>
  </si>
  <si>
    <t xml:space="preserve">REL.PAR.001</t>
  </si>
  <si>
    <t xml:space="preserve">Partager un jouet</t>
  </si>
  <si>
    <t xml:space="preserve">Prêter, attendre son tour, ou proposer un autre jeu.</t>
  </si>
  <si>
    <t xml:space="preserve">prêter;tour;autre jeu</t>
  </si>
  <si>
    <t xml:space="preserve">prêter;attendre;proposer un autre jeu</t>
  </si>
  <si>
    <t xml:space="preserve">garder tout est gagner</t>
  </si>
  <si>
    <t xml:space="preserve">PRETER;TOUR;AUTRE_JEU</t>
  </si>
  <si>
    <t xml:space="preserve">REL.PAR.002</t>
  </si>
  <si>
    <t xml:space="preserve">Attendre son tour</t>
  </si>
  <si>
    <t xml:space="preserve">L'autre finit, puis c'est notre tour.</t>
  </si>
  <si>
    <t xml:space="preserve">attendre;puis mon tour</t>
  </si>
  <si>
    <t xml:space="preserve">attendre;puis jouer</t>
  </si>
  <si>
    <t xml:space="preserve">ATTENDRE;TOUR</t>
  </si>
  <si>
    <t xml:space="preserve">REL.CON.001</t>
  </si>
  <si>
    <t xml:space="preserve">Un camarade bouscule au parc</t>
  </si>
  <si>
    <t xml:space="preserve">Stop, s'éloigner, aller vers papa ou maman au banc.</t>
  </si>
  <si>
    <t xml:space="preserve">stop;s'éloigner;parent au parc</t>
  </si>
  <si>
    <t xml:space="preserve">dire stop;s'éloigner;aller vers papa ou maman</t>
  </si>
  <si>
    <t xml:space="preserve">rendre un coup d'abord</t>
  </si>
  <si>
    <t xml:space="preserve">décrire comment frapper</t>
  </si>
  <si>
    <t xml:space="preserve">STOP;ELOIGNER;PARENT</t>
  </si>
  <si>
    <t xml:space="preserve">REL.CON.002</t>
  </si>
  <si>
    <t xml:space="preserve">Un camarade bouscule à l'école</t>
  </si>
  <si>
    <t xml:space="preserve">Stop, s'éloigner, aller vers la maîtresse ou le maître.</t>
  </si>
  <si>
    <t xml:space="preserve">stop;s'éloigner;maîtresse</t>
  </si>
  <si>
    <t xml:space="preserve">dire stop;s'éloigner;aller vers la maîtresse</t>
  </si>
  <si>
    <t xml:space="preserve">se cacher et ne rien dire</t>
  </si>
  <si>
    <t xml:space="preserve">bagarre comme jeu</t>
  </si>
  <si>
    <t xml:space="preserve">STOP;ELOIGNER;MAITRESSE</t>
  </si>
  <si>
    <t xml:space="preserve">REL.CON.003</t>
  </si>
  <si>
    <t xml:space="preserve">Réparer après une bêtise</t>
  </si>
  <si>
    <t xml:space="preserve">Pardon et un geste simple. Ça n'efface pas tout de suite la peine.</t>
  </si>
  <si>
    <t xml:space="preserve">pardon;geste;peine reste un peu</t>
  </si>
  <si>
    <t xml:space="preserve">dire pardon;proposer un geste</t>
  </si>
  <si>
    <t xml:space="preserve">pardon magique efface tout</t>
  </si>
  <si>
    <t xml:space="preserve">forcer l'amitié</t>
  </si>
  <si>
    <t xml:space="preserve">PARDON;GESTE</t>
  </si>
  <si>
    <t xml:space="preserve">REL.AMI.001</t>
  </si>
  <si>
    <t xml:space="preserve">Inviter à jouer</t>
  </si>
  <si>
    <t xml:space="preserve">« Tu veux jouer avec nous ? » Un non est possible.</t>
  </si>
  <si>
    <t xml:space="preserve">inviter;accepter un non</t>
  </si>
  <si>
    <t xml:space="preserve">demander;accepter le non</t>
  </si>
  <si>
    <t xml:space="preserve">insister jusqu'au oui</t>
  </si>
  <si>
    <t xml:space="preserve">INVITER;ACCEPTER_NON</t>
  </si>
  <si>
    <t xml:space="preserve">REL.MOQ.001</t>
  </si>
  <si>
    <t xml:space="preserve">Ne pas rire d'un camarade</t>
  </si>
  <si>
    <t xml:space="preserve">On ne se moque pas, on ne répète pas, on dit que ce n'est pas gentil.</t>
  </si>
  <si>
    <t xml:space="preserve">respect</t>
  </si>
  <si>
    <t xml:space="preserve">pas rire;pas répéter;pas gentil</t>
  </si>
  <si>
    <t xml:space="preserve">ne pas rire;dire ce n'est pas gentil</t>
  </si>
  <si>
    <t xml:space="preserve">rire = appartenir au groupe</t>
  </si>
  <si>
    <t xml:space="preserve">enseigner un surnom</t>
  </si>
  <si>
    <t xml:space="preserve">PAS_RIRE;PAS_GENTIL</t>
  </si>
  <si>
    <t xml:space="preserve">REL.MOQ.002</t>
  </si>
  <si>
    <t xml:space="preserve">Rejoindre celui qui est à l'écart</t>
  </si>
  <si>
    <t xml:space="preserve">On va vers lui, on l'invite, on prévient un adulte si ça continue.</t>
  </si>
  <si>
    <t xml:space="preserve">rejoindre;inviter;adulte si ça continue</t>
  </si>
  <si>
    <t xml:space="preserve">aller vers lui;inviter;prévenir un adulte</t>
  </si>
  <si>
    <t xml:space="preserve">toute la réparation sur le visé</t>
  </si>
  <si>
    <t xml:space="preserve">REJOINDRE;INVITER;ADULTE</t>
  </si>
  <si>
    <t xml:space="preserve">REL.MOQ.003</t>
  </si>
  <si>
    <t xml:space="preserve">Raconter à papa ou maman</t>
  </si>
  <si>
    <t xml:space="preserve">On raconte, même si on a soi-même ri.</t>
  </si>
  <si>
    <t xml:space="preserve">raconter;même si on a ri</t>
  </si>
  <si>
    <t xml:space="preserve">raconter à papa ou maman</t>
  </si>
  <si>
    <t xml:space="preserve">RACONTER;PAPA_MAMAN</t>
  </si>
  <si>
    <t xml:space="preserve">REL.MOQ.004</t>
  </si>
  <si>
    <t xml:space="preserve">Le téléphone photographie avec un adulte</t>
  </si>
  <si>
    <t xml:space="preserve">On demande avant une photo. On ne prend pas une photo pour rire de quelqu'un.</t>
  </si>
  <si>
    <t xml:space="preserve">demander;adulte;pas pour rire de l'autre</t>
  </si>
  <si>
    <t xml:space="preserve">demander à l'adulte;garder le téléphone avec l'adulte</t>
  </si>
  <si>
    <t xml:space="preserve">expliquer comment sharer une moquerie</t>
  </si>
  <si>
    <t xml:space="preserve">DIF.COR.001</t>
  </si>
  <si>
    <t xml:space="preserve">Plus petit ou plus grand</t>
  </si>
  <si>
    <t xml:space="preserve">On joue ensemble. On ne commente pas le corps pour rabaisser.</t>
  </si>
  <si>
    <t xml:space="preserve">tailles différentes;jouer ensemble</t>
  </si>
  <si>
    <t xml:space="preserve">inviter;jouer</t>
  </si>
  <si>
    <t xml:space="preserve">petit = moins capable</t>
  </si>
  <si>
    <t xml:space="preserve">surnom sur la taille</t>
  </si>
  <si>
    <t xml:space="preserve">JOUER_ENSEMBLE</t>
  </si>
  <si>
    <t xml:space="preserve">DIF.COR.002</t>
  </si>
  <si>
    <t xml:space="preserve">Plus rond ou plus mince</t>
  </si>
  <si>
    <t xml:space="preserve">Le corps n'est pas une blague. L'amitié ne dépend pas de la forme.</t>
  </si>
  <si>
    <t xml:space="preserve">corps pas une blague;jouer</t>
  </si>
  <si>
    <t xml:space="preserve">jouer;pas commenter le corps</t>
  </si>
  <si>
    <t xml:space="preserve">surnom sur le poids</t>
  </si>
  <si>
    <t xml:space="preserve">JOUER;PAS_BLAGUE</t>
  </si>
  <si>
    <t xml:space="preserve">DIF.COR.003</t>
  </si>
  <si>
    <t xml:space="preserve">Lunettes, cheveux, habit</t>
  </si>
  <si>
    <t xml:space="preserve">On ne rit pas des lunettes, des cheveux ou d'un habit.</t>
  </si>
  <si>
    <t xml:space="preserve">pas rire de l'apparence</t>
  </si>
  <si>
    <t xml:space="preserve">jouer;pas rire</t>
  </si>
  <si>
    <t xml:space="preserve">surnom apparence</t>
  </si>
  <si>
    <t xml:space="preserve">PAS_RIRE</t>
  </si>
  <si>
    <t xml:space="preserve">DIF.PAR.001</t>
  </si>
  <si>
    <t xml:space="preserve">Un camarade qui parle peu</t>
  </si>
  <si>
    <t xml:space="preserve">On attend. On n'imite pas. On peut tendre un jouet.</t>
  </si>
  <si>
    <t xml:space="preserve">attendre;tendre un jouet;pas forcer la parole</t>
  </si>
  <si>
    <t xml:space="preserve">attendre;tendre le jouet</t>
  </si>
  <si>
    <t xml:space="preserve">silencieux = moins intelligent</t>
  </si>
  <si>
    <t xml:space="preserve">forcer à parler devant le groupe</t>
  </si>
  <si>
    <t xml:space="preserve">ATTENDRE;TENDRE_JOUET</t>
  </si>
  <si>
    <t xml:space="preserve">DIF.PAR.002</t>
  </si>
  <si>
    <t xml:space="preserve">Ne pas finir les phrases</t>
  </si>
  <si>
    <t xml:space="preserve">On laisse le temps. On n'achève pas à sa place.</t>
  </si>
  <si>
    <t xml:space="preserve">laisser le temps</t>
  </si>
  <si>
    <t xml:space="preserve">attendre la fin de la phrase</t>
  </si>
  <si>
    <t xml:space="preserve">ATTENDRE_PHRASE</t>
  </si>
  <si>
    <t xml:space="preserve">DIF.ENE.001</t>
  </si>
  <si>
    <t xml:space="preserve">Un camarade qui bouge beaucoup</t>
  </si>
  <si>
    <t xml:space="preserve">Beaucoup d'énergie n'est pas une faute. On joue, on attend, on demande à un adulte.</t>
  </si>
  <si>
    <t xml:space="preserve">énergie;pas une faute;jouer ou attendre</t>
  </si>
  <si>
    <t xml:space="preserve">jouer;attendre son tour;demander à un adulte</t>
  </si>
  <si>
    <t xml:space="preserve">étiquette comme insulte</t>
  </si>
  <si>
    <t xml:space="preserve">diagnostic nommé</t>
  </si>
  <si>
    <t xml:space="preserve">JOUER;ATTENDRE;ADULTE</t>
  </si>
  <si>
    <t xml:space="preserve">DIF.BES.001</t>
  </si>
  <si>
    <t xml:space="preserve">Plus de temps ou de calme</t>
  </si>
  <si>
    <t xml:space="preserve">On répète la règle, on accepte qu'il observe d'abord.</t>
  </si>
  <si>
    <t xml:space="preserve">répéter;observer d'abord</t>
  </si>
  <si>
    <t xml:space="preserve">répéter;attendre</t>
  </si>
  <si>
    <t xml:space="preserve">forcer la participation</t>
  </si>
  <si>
    <t xml:space="preserve">REPETTER;OBSERVER</t>
  </si>
  <si>
    <t xml:space="preserve">DIF.BES.002</t>
  </si>
  <si>
    <t xml:space="preserve">Inviter sans forcer</t>
  </si>
  <si>
    <t xml:space="preserve">On propose. Non, regarder, ou plus tard sont possibles.</t>
  </si>
  <si>
    <t xml:space="preserve">proposer;accepter plusieurs réponses</t>
  </si>
  <si>
    <t xml:space="preserve">inviter;accepter</t>
  </si>
  <si>
    <t xml:space="preserve">INVITER;ACCEPTER</t>
  </si>
  <si>
    <t xml:space="preserve">AUT.AFF.001</t>
  </si>
  <si>
    <t xml:space="preserve">Préparer son sac</t>
  </si>
  <si>
    <t xml:space="preserve">On met dans le sac ce que papa ou maman a dit.</t>
  </si>
  <si>
    <t xml:space="preserve">sac;ce que l'adulte a dit</t>
  </si>
  <si>
    <t xml:space="preserve">mettre dans le sac</t>
  </si>
  <si>
    <t xml:space="preserve">SAC;METTRE</t>
  </si>
  <si>
    <t xml:space="preserve">AUT.AFF.002</t>
  </si>
  <si>
    <t xml:space="preserve">Prendre son manteau</t>
  </si>
  <si>
    <t xml:space="preserve">Avant de sortir on prend le manteau. On le pose à sa place en rentrant.</t>
  </si>
  <si>
    <t xml:space="preserve">manteau;sortir;rentrer</t>
  </si>
  <si>
    <t xml:space="preserve">prendre le manteau;le raccrocher</t>
  </si>
  <si>
    <t xml:space="preserve">MANTEAU</t>
  </si>
  <si>
    <t xml:space="preserve">AUT.AFF.003</t>
  </si>
  <si>
    <t xml:space="preserve">Retrouver ses affaires avant de partir</t>
  </si>
  <si>
    <t xml:space="preserve">Au parc on reprend seau, manteau, doudou avant de rentrer.</t>
  </si>
  <si>
    <t xml:space="preserve">reprendre ses affaires;avant de partir</t>
  </si>
  <si>
    <t xml:space="preserve">chercher seau et manteau;les prendre</t>
  </si>
  <si>
    <t xml:space="preserve">REPRENDRE;AVANT_DE_PARTIR</t>
  </si>
  <si>
    <t xml:space="preserve">AUT.RAN.001</t>
  </si>
  <si>
    <t xml:space="preserve">Ranger après le jeu</t>
  </si>
  <si>
    <t xml:space="preserve">Les jouets retournent dans la caisse.</t>
  </si>
  <si>
    <t xml:space="preserve">ranger;caisse</t>
  </si>
  <si>
    <t xml:space="preserve">mettre dans la caisse</t>
  </si>
  <si>
    <t xml:space="preserve">RANGER;CAISSE</t>
  </si>
  <si>
    <t xml:space="preserve">AUT.ROU.001</t>
  </si>
  <si>
    <t xml:space="preserve">Enchaîner le matin</t>
  </si>
  <si>
    <t xml:space="preserve">Lever, habiller, déjeuner, sac — une étape après l'autre.</t>
  </si>
  <si>
    <t xml:space="preserve">une étape après l'autre</t>
  </si>
  <si>
    <t xml:space="preserve">faire l'étape dite</t>
  </si>
  <si>
    <t xml:space="preserve">ETAPE</t>
  </si>
  <si>
    <t xml:space="preserve">FAM.VER.001</t>
  </si>
  <si>
    <t xml:space="preserve">Raconter une bêtise</t>
  </si>
  <si>
    <t xml:space="preserve">On dit à papa ou maman ce qui s'est passé.</t>
  </si>
  <si>
    <t xml:space="preserve">raconter;papa ou maman</t>
  </si>
  <si>
    <t xml:space="preserve">raconter</t>
  </si>
  <si>
    <t xml:space="preserve">cacher est plus sûr</t>
  </si>
  <si>
    <t xml:space="preserve">menace « on ne t'aimera plus »</t>
  </si>
  <si>
    <t xml:space="preserve">FAM.SEC.001</t>
  </si>
  <si>
    <t xml:space="preserve">Surprise d'anniversaire</t>
  </si>
  <si>
    <t xml:space="preserve">Une surprise gentille et courte se garde un peu, puis on révèle.</t>
  </si>
  <si>
    <t xml:space="preserve">surprise gentille;puis on dit</t>
  </si>
  <si>
    <t xml:space="preserve">garder un peu;puis révéler</t>
  </si>
  <si>
    <t xml:space="preserve">secret qui fait peur présenté comme surprise</t>
  </si>
  <si>
    <t xml:space="preserve">SURPRISE_GENTILLE</t>
  </si>
  <si>
    <t xml:space="preserve">FAM.SEC.002</t>
  </si>
  <si>
    <t xml:space="preserve">Ce qui fait peur se raconte</t>
  </si>
  <si>
    <t xml:space="preserve">Peur, malaise, bizarre : on le dit à papa ou maman.</t>
  </si>
  <si>
    <t xml:space="preserve">peur;raconter à papa ou maman</t>
  </si>
  <si>
    <t xml:space="preserve">aller le dire</t>
  </si>
  <si>
    <t xml:space="preserve">un adulte peut demander de garder un malaise</t>
  </si>
  <si>
    <t xml:space="preserve">obéissance aveugle</t>
  </si>
  <si>
    <t xml:space="preserve">FAM.AID.001</t>
  </si>
  <si>
    <t xml:space="preserve">Appeler papa ou maman</t>
  </si>
  <si>
    <t xml:space="preserve">Quand c'est trop difficile, on va vers eux et on dit le besoin.</t>
  </si>
  <si>
    <t xml:space="preserve">aller vers eux;dire le besoin</t>
  </si>
  <si>
    <t xml:space="preserve">appeler;dire</t>
  </si>
  <si>
    <t xml:space="preserve">demander = être bébé</t>
  </si>
  <si>
    <t xml:space="preserve">APPELER;DIRE</t>
  </si>
  <si>
    <t xml:space="preserve">COL.POL.001</t>
  </si>
  <si>
    <t xml:space="preserve">Bonjour, s'il te plaît, merci</t>
  </si>
  <si>
    <t xml:space="preserve">On salue, on demande, on remercie.</t>
  </si>
  <si>
    <t xml:space="preserve">bonjour;s'il te plaît;merci</t>
  </si>
  <si>
    <t xml:space="preserve">dire le mot</t>
  </si>
  <si>
    <t xml:space="preserve">BONJOUR;SILTEPLAIT;MERCI</t>
  </si>
  <si>
    <t xml:space="preserve">COL.ECO.001</t>
  </si>
  <si>
    <t xml:space="preserve">Écouter la maîtresse, en parler à la maison</t>
  </si>
  <si>
    <t xml:space="preserve">On écoute l'adulte de la classe. Si quelque chose met mal à l'aise, on le dit à papa ou maman.</t>
  </si>
  <si>
    <t xml:space="preserve">écouter;si malaise raconter à la maison</t>
  </si>
  <si>
    <t xml:space="preserve">écouter;raconter à papa ou maman si malaise</t>
  </si>
  <si>
    <t xml:space="preserve">obéir à tout le monde sans soupape</t>
  </si>
  <si>
    <t xml:space="preserve">ECOUTER;RACONTER_MAISON</t>
  </si>
  <si>
    <t xml:space="preserve">COL.ECO.002</t>
  </si>
  <si>
    <t xml:space="preserve">Tour de parole</t>
  </si>
  <si>
    <t xml:space="preserve">On lève la main ou on attend, puis on parle.</t>
  </si>
  <si>
    <t xml:space="preserve">attendre;puis parler</t>
  </si>
  <si>
    <t xml:space="preserve">lever la main;attendre</t>
  </si>
  <si>
    <t xml:space="preserve">ATTENDRE;PARLER</t>
  </si>
  <si>
    <t xml:space="preserve">VIV.ANI.001</t>
  </si>
  <si>
    <t xml:space="preserve">Le cri de l'animal</t>
  </si>
  <si>
    <t xml:space="preserve">On nomme le cri : chien, chat, vache, coq, mouton, canard.</t>
  </si>
  <si>
    <t xml:space="preserve">nom de l'animal;cri</t>
  </si>
  <si>
    <t xml:space="preserve">dire le cri</t>
  </si>
  <si>
    <t xml:space="preserve">CRI;ANIMAL</t>
  </si>
  <si>
    <t xml:space="preserve">VIV.ANI.002</t>
  </si>
  <si>
    <t xml:space="preserve">Mâle, femelle et petit</t>
  </si>
  <si>
    <t xml:space="preserve">Coq poule poussin ; chat chatte chaton ; chien chienne chiot ; cheval jument poulain.</t>
  </si>
  <si>
    <t xml:space="preserve">trois noms de la famille</t>
  </si>
  <si>
    <t xml:space="preserve">dire les trois noms</t>
  </si>
  <si>
    <t xml:space="preserve">discours de genre humain</t>
  </si>
  <si>
    <t xml:space="preserve">MALE;FEMELLE;PETIT</t>
  </si>
  <si>
    <t xml:space="preserve">VIV.ANI.003</t>
  </si>
  <si>
    <t xml:space="preserve">Prendre soin avec un adulte</t>
  </si>
  <si>
    <t xml:space="preserve">Eau ou nourriture avec papa ou maman. On est doux.</t>
  </si>
  <si>
    <t xml:space="preserve">avec un adulte;doux</t>
  </si>
  <si>
    <t xml:space="preserve">remplir l'eau avec l'adulte</t>
  </si>
  <si>
    <t xml:space="preserve">AVEC_ADULTE;DOUX</t>
  </si>
  <si>
    <t xml:space="preserve">VIV.PLA.001</t>
  </si>
  <si>
    <t xml:space="preserve">Arroser une plante</t>
  </si>
  <si>
    <t xml:space="preserve">Eau et lumière, avec un adulte.</t>
  </si>
  <si>
    <t xml:space="preserve">eau;lumière;adulte</t>
  </si>
  <si>
    <t xml:space="preserve">arroser avec l'adulte</t>
  </si>
  <si>
    <t xml:space="preserve">ARROSER</t>
  </si>
  <si>
    <t xml:space="preserve">TMP.JOU.001</t>
  </si>
  <si>
    <t xml:space="preserve">Soleil, lune, étoiles</t>
  </si>
  <si>
    <t xml:space="preserve">Le jour le soleil. La nuit la lune et les étoiles. On se couche la nuit.</t>
  </si>
  <si>
    <t xml:space="preserve">soleil jour;lune nuit;dodo la nuit</t>
  </si>
  <si>
    <t xml:space="preserve">nommer;se coucher la nuit</t>
  </si>
  <si>
    <t xml:space="preserve">SOLEIL;LUNE;NUIT</t>
  </si>
  <si>
    <t xml:space="preserve">TMP.SEM.001</t>
  </si>
  <si>
    <t xml:space="preserve">Les sept jours</t>
  </si>
  <si>
    <t xml:space="preserve">Lundi à dimanche dans l'ordre.</t>
  </si>
  <si>
    <t xml:space="preserve">sept jours dans l'ordre</t>
  </si>
  <si>
    <t xml:space="preserve">répéter un jour</t>
  </si>
  <si>
    <t xml:space="preserve">JOUR</t>
  </si>
  <si>
    <t xml:space="preserve">TMP.SEM.002</t>
  </si>
  <si>
    <t xml:space="preserve">Mercredi et week-end</t>
  </si>
  <si>
    <t xml:space="preserve">Certains jours école, mercredi et week-end à la maison.</t>
  </si>
  <si>
    <t xml:space="preserve">mercredi;samedi;dimanche</t>
  </si>
  <si>
    <t xml:space="preserve">nommer mercredi ou week-end</t>
  </si>
  <si>
    <t xml:space="preserve">MERCREDI;WEEKEND</t>
  </si>
  <si>
    <t xml:space="preserve">TMP.MOI.001</t>
  </si>
  <si>
    <t xml:space="preserve">Les douze mois</t>
  </si>
  <si>
    <t xml:space="preserve">On entend les douze mois. Un anniversaire a un mois.</t>
  </si>
  <si>
    <t xml:space="preserve">douze mois;anniversaire</t>
  </si>
  <si>
    <t xml:space="preserve">nommer un mois</t>
  </si>
  <si>
    <t xml:space="preserve">MOIS</t>
  </si>
  <si>
    <t xml:space="preserve">TMP.SAI.001</t>
  </si>
  <si>
    <t xml:space="preserve">Les quatre saisons</t>
  </si>
  <si>
    <t xml:space="preserve">Printemps fleurs, été chaud, automne feuilles, hiver manteau.</t>
  </si>
  <si>
    <t xml:space="preserve">quatre saisons;un signe chacune</t>
  </si>
  <si>
    <t xml:space="preserve">nommer la saison</t>
  </si>
  <si>
    <t xml:space="preserve">SAISON</t>
  </si>
  <si>
    <t xml:space="preserve">TMP.MET.001</t>
  </si>
  <si>
    <t xml:space="preserve">Manteau selon le temps</t>
  </si>
  <si>
    <t xml:space="preserve">Froid ou pluie : manteau ou bottes.</t>
  </si>
  <si>
    <t xml:space="preserve">froid manteau;pluie bottes</t>
  </si>
  <si>
    <t xml:space="preserve">prendre le manteau ou les bottes</t>
  </si>
  <si>
    <t xml:space="preserve">MANTEAU;BOTTES</t>
  </si>
  <si>
    <t xml:space="preserve">SOC.TRA.001</t>
  </si>
  <si>
    <t xml:space="preserve">Train, avion, bateau</t>
  </si>
  <si>
    <t xml:space="preserve">On nomme, on entend un bruit, on voyage avec un adulte.</t>
  </si>
  <si>
    <t xml:space="preserve">nom du véhicule;avec un adulte</t>
  </si>
  <si>
    <t xml:space="preserve">nommer;rester avec l'adulte</t>
  </si>
  <si>
    <t xml:space="preserve">TRAIN;AVION;BATEAU</t>
  </si>
  <si>
    <t xml:space="preserve">SOC.TRA.002</t>
  </si>
  <si>
    <t xml:space="preserve">Rester assis dans le transport</t>
  </si>
  <si>
    <t xml:space="preserve">Voiture, train, bus : assis, place, avec l'adulte.</t>
  </si>
  <si>
    <t xml:space="preserve">assis;avec l'adulte</t>
  </si>
  <si>
    <t xml:space="preserve">rester assis;ceinture ou place avec l'adulte</t>
  </si>
  <si>
    <t xml:space="preserve">décrire ouvrir la portière en marche</t>
  </si>
  <si>
    <t xml:space="preserve">ASSIS;AVEC_ADULTE</t>
  </si>
  <si>
    <t xml:space="preserve">SOC.MET.001</t>
  </si>
  <si>
    <t xml:space="preserve">Métiers de tous les jours</t>
  </si>
  <si>
    <t xml:space="preserve">Boulanger, médecin, maîtresse, chauffeur : un geste utile chacun.</t>
  </si>
  <si>
    <t xml:space="preserve">métier;geste utile</t>
  </si>
  <si>
    <t xml:space="preserve">nommer le métier</t>
  </si>
  <si>
    <t xml:space="preserve">METIER</t>
  </si>
  <si>
    <t xml:space="preserve">SOC.ARG.001</t>
  </si>
  <si>
    <t xml:space="preserve">À quoi sert l'argent</t>
  </si>
  <si>
    <t xml:space="preserve">Papa ou maman travaille. L'argent sert au pain, aux légumes, aux chaussures.</t>
  </si>
  <si>
    <t xml:space="preserve">travail;acheter pain légumes chaussures</t>
  </si>
  <si>
    <t xml:space="preserve">dire à quoi ça sert</t>
  </si>
  <si>
    <t xml:space="preserve">l'argent pousse tout seul</t>
  </si>
  <si>
    <t xml:space="preserve">ACHETER;TRAVAIL</t>
  </si>
  <si>
    <t xml:space="preserve">SOC.ARG.002</t>
  </si>
  <si>
    <t xml:space="preserve">Demander pour un achat</t>
  </si>
  <si>
    <t xml:space="preserve">L'argent se range. On demande à papa ou maman.</t>
  </si>
  <si>
    <t xml:space="preserve">demander;adulte</t>
  </si>
  <si>
    <t xml:space="preserve">DEMANDER</t>
  </si>
  <si>
    <t xml:space="preserve">SOC.CUI.001</t>
  </si>
  <si>
    <t xml:space="preserve">Aider à préparer</t>
  </si>
  <si>
    <t xml:space="preserve">Laver une tomate, poser une cuillère, apporter le pain, avec un adulte.</t>
  </si>
  <si>
    <t xml:space="preserve">tâche sûre;avec un adulte</t>
  </si>
  <si>
    <t xml:space="preserve">laver;apporter;poser</t>
  </si>
  <si>
    <t xml:space="preserve">couteau / feu comme jeu enfant</t>
  </si>
  <si>
    <t xml:space="preserve">AIDER;AVEC_ADULTE</t>
  </si>
  <si>
    <t xml:space="preserve">SOC.PAY.001</t>
  </si>
  <si>
    <t xml:space="preserve">Un pays, un paysage</t>
  </si>
  <si>
    <t xml:space="preserve">Un nom de pays et mer, montagne ou désert. Pas de politique.</t>
  </si>
  <si>
    <t xml:space="preserve">Plus tard</t>
  </si>
  <si>
    <t xml:space="preserve">nom;paysage</t>
  </si>
  <si>
    <t xml:space="preserve">nommer</t>
  </si>
  <si>
    <t xml:space="preserve">guerre frontières</t>
  </si>
  <si>
    <t xml:space="preserve">PAYS;PAYSAGE</t>
  </si>
  <si>
    <t xml:space="preserve">JEU.BAL.001</t>
  </si>
  <si>
    <t xml:space="preserve">Se passer le ballon</t>
  </si>
  <si>
    <t xml:space="preserve">Chacun a un tour. On reste dans le jeu montré par l'adulte.</t>
  </si>
  <si>
    <t xml:space="preserve">passer;tour;espace du jeu</t>
  </si>
  <si>
    <t xml:space="preserve">passer le ballon;attendre</t>
  </si>
  <si>
    <t xml:space="preserve">PASSER;TOUR</t>
  </si>
  <si>
    <t xml:space="preserve">JEU.FOOT.001</t>
  </si>
  <si>
    <t xml:space="preserve">Petit jeu de foot</t>
  </si>
  <si>
    <t xml:space="preserve">On vise le but au fond. On se passe le ballon. On reste dans le rectangle montré.</t>
  </si>
  <si>
    <t xml:space="preserve">but;passer;espace montré</t>
  </si>
  <si>
    <t xml:space="preserve">passer;tirer au but dans l'espace</t>
  </si>
  <si>
    <t xml:space="preserve">tacle / violence</t>
  </si>
  <si>
    <t xml:space="preserve">BUT;PASSER</t>
  </si>
  <si>
    <t xml:space="preserve">JEU.BAS.001</t>
  </si>
  <si>
    <t xml:space="preserve">Petit jeu de basket</t>
  </si>
  <si>
    <t xml:space="preserve">On vise le panier. On se passe le ballon. Chacun a un lancer.</t>
  </si>
  <si>
    <t xml:space="preserve">panier;passer;chacun un lancer</t>
  </si>
  <si>
    <t xml:space="preserve">passer;lancer au panier</t>
  </si>
  <si>
    <t xml:space="preserve">bagarre sous le panier</t>
  </si>
  <si>
    <t xml:space="preserve">PANIER;PASSER</t>
  </si>
  <si>
    <t xml:space="preserve">JEU.REG.001</t>
  </si>
  <si>
    <t xml:space="preserve">Accepter de perdre</t>
  </si>
  <si>
    <t xml:space="preserve">Parfois l'autre gagne. On peut être déçu et rejouer plus tard.</t>
  </si>
  <si>
    <t xml:space="preserve">l'autre peut gagner;déçu permis;rejouer plus tard</t>
  </si>
  <si>
    <t xml:space="preserve">dire bravo;rejouer plus tard</t>
  </si>
  <si>
    <t xml:space="preserve">celui qui perd est nul</t>
  </si>
  <si>
    <t xml:space="preserve">PERDRE;REJOUER</t>
  </si>
  <si>
    <t xml:space="preserve">JEU.REG.002</t>
  </si>
  <si>
    <t xml:space="preserve">Une règle simple</t>
  </si>
  <si>
    <t xml:space="preserve">Attendre, passer ou s'arrêter : on rappelle une fois.</t>
  </si>
  <si>
    <t xml:space="preserve">une règle;la rappeler</t>
  </si>
  <si>
    <t xml:space="preserve">suivre la règle dite</t>
  </si>
  <si>
    <t xml:space="preserve">REGLE</t>
  </si>
  <si>
    <t xml:space="preserve">LAN.MOT.001</t>
  </si>
  <si>
    <t xml:space="preserve">Nommer et classer</t>
  </si>
  <si>
    <t xml:space="preserve">Fruits ensemble, habits ensemble.</t>
  </si>
  <si>
    <t xml:space="preserve">catégorie</t>
  </si>
  <si>
    <t xml:space="preserve">mettre ensemble</t>
  </si>
  <si>
    <t xml:space="preserve">CLASSER</t>
  </si>
  <si>
    <t xml:space="preserve">LAN.NOM.001</t>
  </si>
  <si>
    <t xml:space="preserve">Compter jusqu'à cinq ou dix</t>
  </si>
  <si>
    <t xml:space="preserve">Objets concrets dans le récit.</t>
  </si>
  <si>
    <t xml:space="preserve">compter des objets</t>
  </si>
  <si>
    <t xml:space="preserve">dire le nombre</t>
  </si>
  <si>
    <t xml:space="preserve">NOMBRE</t>
  </si>
  <si>
    <t xml:space="preserve">LAN.SON.001</t>
  </si>
  <si>
    <t xml:space="preserve">Reconnaître un son</t>
  </si>
  <si>
    <t xml:space="preserve">Pluie, train, chat : on nomme ce qu'on entend.</t>
  </si>
  <si>
    <t xml:space="preserve">son;nom</t>
  </si>
  <si>
    <t xml:space="preserve">nommer le son</t>
  </si>
  <si>
    <t xml:space="preserve">SON</t>
  </si>
  <si>
    <t xml:space="preserve">Contrats exécutables — arbre Parc (à coller dans le validateur)</t>
  </si>
  <si>
    <t xml:space="preserve">question type</t>
  </si>
  <si>
    <t xml:space="preserve">question exemple</t>
  </si>
  <si>
    <t xml:space="preserve">intents OK</t>
  </si>
  <si>
    <t xml:space="preserve">correction si erreur</t>
  </si>
  <si>
    <t xml:space="preserve">ne jamais écrire dans l'audio</t>
  </si>
  <si>
    <t xml:space="preserve">S'arrêter au bord</t>
  </si>
  <si>
    <t xml:space="preserve">trottoir; s'arrêter; pieds</t>
  </si>
  <si>
    <t xml:space="preserve">s'arrêter; pieds sur le trottoir</t>
  </si>
  <si>
    <t xml:space="preserve">lesson</t>
  </si>
  <si>
    <t xml:space="preserve">Où sont les pieds quand on attend ?</t>
  </si>
  <si>
    <t xml:space="preserve">TROTTOIR; ARRETER</t>
  </si>
  <si>
    <t xml:space="preserve">Les pieds restent sur le trottoir, avec l'adulte.</t>
  </si>
  <si>
    <t xml:space="preserve">courir au milieu; traverser tout seul</t>
  </si>
  <si>
    <t xml:space="preserve">Feu vert + adulte</t>
  </si>
  <si>
    <t xml:space="preserve">feu vert; main; adulte; attendre</t>
  </si>
  <si>
    <t xml:space="preserve">attendre le feu vert; donner la main; avancer avec l'adulte</t>
  </si>
  <si>
    <t xml:space="preserve">Quand le feu piéton est encore rouge, où attend-on ?</t>
  </si>
  <si>
    <t xml:space="preserve">TROTTOIR; AVEC_ADULTE; ATTENDRE</t>
  </si>
  <si>
    <t xml:space="preserve">On attend sur le trottoir, la main dans la main.</t>
  </si>
  <si>
    <t xml:space="preserve">avancer au rouge; l'enfant décide seul</t>
  </si>
  <si>
    <t xml:space="preserve">Là où l'adulte voit</t>
  </si>
  <si>
    <t xml:space="preserve">espace montré; adulte voit</t>
  </si>
  <si>
    <t xml:space="preserve">jouer dans l'espace montré</t>
  </si>
  <si>
    <t xml:space="preserve">comprehension</t>
  </si>
  <si>
    <t xml:space="preserve">Où est-ce qu'on joue ?</t>
  </si>
  <si>
    <t xml:space="preserve">ESPACE_MONTRE; PRES_ADULTE</t>
  </si>
  <si>
    <t xml:space="preserve">On joue là où papa ou maman peut voir.</t>
  </si>
  <si>
    <t xml:space="preserve">partir derrière le bâtiment</t>
  </si>
  <si>
    <t xml:space="preserve">Partager le ballon</t>
  </si>
  <si>
    <t xml:space="preserve">prêter; tour; autre jeu</t>
  </si>
  <si>
    <t xml:space="preserve">prêter; attendre; proposer un autre jeu</t>
  </si>
  <si>
    <t xml:space="preserve">Le ballon est pris. Que peut-on faire ?</t>
  </si>
  <si>
    <t xml:space="preserve">PRETER; TOUR; AUTRE_JEU</t>
  </si>
  <si>
    <t xml:space="preserve">On peut attendre son tour ou proposer un autre jeu.</t>
  </si>
  <si>
    <t xml:space="preserve">arracher; frapper pour reprendre</t>
  </si>
  <si>
    <t xml:space="preserve">Bousculade au parc</t>
  </si>
  <si>
    <t xml:space="preserve">stop; s'éloigner; parent</t>
  </si>
  <si>
    <t xml:space="preserve">dire stop; s'éloigner; aller vers papa ou maman</t>
  </si>
  <si>
    <t xml:space="preserve">Un camarade a bousculé. Que fait-on ?</t>
  </si>
  <si>
    <t xml:space="preserve">STOP; ELOIGNER; PARENT</t>
  </si>
  <si>
    <t xml:space="preserve">On dit stop, on s'éloigne, on va vers papa ou maman.</t>
  </si>
  <si>
    <t xml:space="preserve">comment rendre un coup</t>
  </si>
  <si>
    <t xml:space="preserve">Colère</t>
  </si>
  <si>
    <t xml:space="preserve">colère; mains loin; s'éloigner</t>
  </si>
  <si>
    <t xml:space="preserve">nommer; s'éloigner; souffler; adulte</t>
  </si>
  <si>
    <t xml:space="preserve">Le ventre est chaud, les poings serrés. Comment ça s'appelle ?</t>
  </si>
  <si>
    <t xml:space="preserve">COLERE</t>
  </si>
  <si>
    <t xml:space="preserve">C'est la colère. Les mains restent loin. On s'éloigne.</t>
  </si>
  <si>
    <t xml:space="preserve">frapper pour se calmer</t>
  </si>
  <si>
    <t xml:space="preserve">Stop et s'éloigner</t>
  </si>
  <si>
    <t xml:space="preserve">stop; s'éloigner; adulte</t>
  </si>
  <si>
    <t xml:space="preserve">dire stop; marcher vers l'adulte</t>
  </si>
  <si>
    <t xml:space="preserve">C'est trop. Que dit-on ?</t>
  </si>
  <si>
    <t xml:space="preserve">STOP; ELOIGNER</t>
  </si>
  <si>
    <t xml:space="preserve">On dit stop et on va vers l'adulte.</t>
  </si>
  <si>
    <t xml:space="preserve">Plus petit / plus grand</t>
  </si>
  <si>
    <t xml:space="preserve">jouer ensemble; pas commenter pour rabaisser</t>
  </si>
  <si>
    <t xml:space="preserve">inviter au ballon</t>
  </si>
  <si>
    <t xml:space="preserve">On peut jouer avec un camarade plus petit ?</t>
  </si>
  <si>
    <t xml:space="preserve">OUI; JOUER_ENSEMBLE</t>
  </si>
  <si>
    <t xml:space="preserve">Oui. On l'invite. Les tailles sont différentes.</t>
  </si>
  <si>
    <t xml:space="preserve">Beaucoup d'énergie</t>
  </si>
  <si>
    <t xml:space="preserve">énergie pas une faute; jouer ou attendre</t>
  </si>
  <si>
    <t xml:space="preserve">jouer; attendre son tour; demander à l'adulte</t>
  </si>
  <si>
    <t xml:space="preserve">Il bouge beaucoup. Que peut-on faire ?</t>
  </si>
  <si>
    <t xml:space="preserve">JOUER; ATTENDRE; ADULTE</t>
  </si>
  <si>
    <t xml:space="preserve">On peut jouer avec lui ou attendre. Ce n'est pas une faute.</t>
  </si>
  <si>
    <t xml:space="preserve">hyperactif comme insulte</t>
  </si>
  <si>
    <t xml:space="preserve">Ne pas rire</t>
  </si>
  <si>
    <t xml:space="preserve">pas rire; pas répéter; pas gentil</t>
  </si>
  <si>
    <t xml:space="preserve">ne pas rire; dire ce n'est pas gentil</t>
  </si>
  <si>
    <t xml:space="preserve">On entend une moquerie. Que fait-on ?</t>
  </si>
  <si>
    <t xml:space="preserve">PAS_RIRE; PAS_GENTIL</t>
  </si>
  <si>
    <t xml:space="preserve">On ne rit pas. On dit que ce n'est pas gentil.</t>
  </si>
  <si>
    <t xml:space="preserve">répéter le surnom</t>
  </si>
  <si>
    <t xml:space="preserve">Rejoindre</t>
  </si>
  <si>
    <t xml:space="preserve">rejoindre; inviter; adulte si ça continue</t>
  </si>
  <si>
    <t xml:space="preserve">aller vers lui; inviter; prévenir un adulte</t>
  </si>
  <si>
    <t xml:space="preserve">Un camarade est tout seul après une moquerie. Que fait-on ?</t>
  </si>
  <si>
    <t xml:space="preserve">REJOINDRE; INVITER</t>
  </si>
  <si>
    <t xml:space="preserve">On va vers lui et on l'invite. Si ça continue, on prévient un adulte.</t>
  </si>
  <si>
    <t xml:space="preserve">toute la charge sur le visé</t>
  </si>
  <si>
    <t xml:space="preserve">Affaires avant de partir</t>
  </si>
  <si>
    <t xml:space="preserve">reprendre; avant de partir</t>
  </si>
  <si>
    <t xml:space="preserve">chercher seau et manteau; les prendre</t>
  </si>
  <si>
    <t xml:space="preserve">Avant de rentrer, que reprend-on ?</t>
  </si>
  <si>
    <t xml:space="preserve">MANTEAU; SEAU; AFFAIRES</t>
  </si>
  <si>
    <t xml:space="preserve">On reprend ses affaires : manteau, seau, doudou.</t>
  </si>
  <si>
    <t xml:space="preserve">Arbre pilote TREE-PARC-001 — plusieurs fins distinctes</t>
  </si>
  <si>
    <t xml:space="preserve">Scène</t>
  </si>
  <si>
    <t xml:space="preserve">Leçon</t>
  </si>
  <si>
    <t xml:space="preserve">Rôle</t>
  </si>
  <si>
    <t xml:space="preserve">Type nœud</t>
  </si>
  <si>
    <t xml:space="preserve">Consignes génération</t>
  </si>
  <si>
    <t xml:space="preserve">Trajet — bord du trottoir</t>
  </si>
  <si>
    <t xml:space="preserve">principale</t>
  </si>
  <si>
    <t xml:space="preserve">audio + question_lesson</t>
  </si>
  <si>
    <t xml:space="preserve">Pieds sur le trottoir. Ne pas raconter une course sur la chaussée.</t>
  </si>
  <si>
    <t xml:space="preserve">Traversée</t>
  </si>
  <si>
    <t xml:space="preserve">Feu vert, main, adulte. Question : où attend-on ? Options toutes positives.</t>
  </si>
  <si>
    <t xml:space="preserve">Arrivée</t>
  </si>
  <si>
    <t xml:space="preserve">secondaire</t>
  </si>
  <si>
    <t xml:space="preserve">audio</t>
  </si>
  <si>
    <t xml:space="preserve">Espace que papa ou maman a montré.</t>
  </si>
  <si>
    <t xml:space="preserve">Choix lieu</t>
  </si>
  <si>
    <t xml:space="preserve">narratif</t>
  </si>
  <si>
    <t xml:space="preserve">choice_story</t>
  </si>
  <si>
    <t xml:space="preserve">Bac à sable ou ballon. Aucune option morale.</t>
  </si>
  <si>
    <t xml:space="preserve">Ballon</t>
  </si>
  <si>
    <t xml:space="preserve">principale de scène</t>
  </si>
  <si>
    <t xml:space="preserve">Prêter / tour / autre jeu.</t>
  </si>
  <si>
    <t xml:space="preserve">Bousculade</t>
  </si>
  <si>
    <t xml:space="preserve">Stop, loin, parent. Pas de mode d'emploi de bagarre.</t>
  </si>
  <si>
    <t xml:space="preserve">liée</t>
  </si>
  <si>
    <t xml:space="preserve">Nommer. Mains loin.</t>
  </si>
  <si>
    <t xml:space="preserve">Geste</t>
  </si>
  <si>
    <t xml:space="preserve">renfort</t>
  </si>
  <si>
    <t xml:space="preserve">feedback</t>
  </si>
  <si>
    <t xml:space="preserve">Stop et s'éloigner — réutilise la scène.</t>
  </si>
  <si>
    <t xml:space="preserve">Branche A taille</t>
  </si>
  <si>
    <t xml:space="preserve">branche</t>
  </si>
  <si>
    <t xml:space="preserve">audio + question</t>
  </si>
  <si>
    <t xml:space="preserve">Inviter. Pas de commentaire rabaissant.</t>
  </si>
  <si>
    <t xml:space="preserve">Branche B énergie</t>
  </si>
  <si>
    <t xml:space="preserve">Jouer ou attendre. Pas d'étiquette.</t>
  </si>
  <si>
    <t xml:space="preserve">Branche C moquerie</t>
  </si>
  <si>
    <t xml:space="preserve">REL.MOQ.001 + 002</t>
  </si>
  <si>
    <t xml:space="preserve">audio + question + feedback</t>
  </si>
  <si>
    <t xml:space="preserve">Ne pas rire. Rejoindre. Adulte si ça continue. Pas de surnom répété.</t>
  </si>
  <si>
    <t xml:space="preserve">Départ</t>
  </si>
  <si>
    <t xml:space="preserve">fermeture</t>
  </si>
  <si>
    <t xml:space="preserve">audio + question + ending</t>
  </si>
  <si>
    <t xml:space="preserve">Manteau, seau. Trois fins possibles selon la branche : rentrer calme / rentrer après avoir parlé / rentrer avec un nouvel ami de jeu.</t>
  </si>
  <si>
    <t xml:space="preserve">Stratégie de validation</t>
  </si>
  <si>
    <t xml:space="preserve">Le moteur vit en production éditoriale. L'app d'écoute n'exécute que des paquets APPROVED_PACKAGE.</t>
  </si>
  <si>
    <t xml:space="preserve">Pipeline (un arbre)</t>
  </si>
  <si>
    <t xml:space="preserve">1. Contrat pédagogique versionné (onglet 23 pour le parc, onglet 22 pour le reste).</t>
  </si>
  <si>
    <t xml:space="preserve">2. Génération hors validateur (F-GEN-001).</t>
  </si>
  <si>
    <t xml:space="preserve">3. Compilateur graphe + énumération 100 % des chemins.</t>
  </si>
  <si>
    <t xml:space="preserve">4. Règles déterministes : hors-jardin, étiquettes, imitabilité, âge, questions, droit.</t>
  </si>
  <si>
    <t xml:space="preserve">5. Sémantique + adversaire sur chaque chemin (leçon retenue, contradiction, qui est récompensé).</t>
  </si>
  <si>
    <t xml:space="preserve">6. Orchestrateur → REJECTED / REVISION / HUMAN_REVIEW / APPROVED_TEXT.</t>
  </si>
  <si>
    <t xml:space="preserve">7. Revue humaine si matrice ou désaccord ou sensibilité enhanced/specialist.</t>
  </si>
  <si>
    <t xml:space="preserve">8. TTS seulement si APPROVED_TEXT. Texte ensuite figé.</t>
  </si>
  <si>
    <t xml:space="preserve">9. ASR vs texte + acoustique + durées réelles.</t>
  </si>
  <si>
    <t xml:space="preserve">10. Signature APPROVED_PACKAGE. Le store refuse tout le reste.</t>
  </si>
  <si>
    <t xml:space="preserve">Règle absolue</t>
  </si>
  <si>
    <t xml:space="preserve">Une note 98/100 avec un seul chemin qui nomme un geste dangereux = REJECTED.</t>
  </si>
  <si>
    <t xml:space="preserve">Preuve pédagogique minimale (chaque chemin qui revendique une leçon)</t>
  </si>
  <si>
    <t xml:space="preserve">Situation audible sans écran · Enjeu · Modèle de conduite sûre · Question ou choix · Confirmation positive · Conséquence qui ne récompense pas l'inverse.</t>
  </si>
  <si>
    <t xml:space="preserve">Scores (versionnés, à calibrer — ne pas figer aujourd'hui)</t>
  </si>
  <si>
    <t xml:space="preserve">ALIGN ≥ 0,90 · COVER = 1,00 · ACCURACY = 1,00 si fait critique · ACTION ≥ 0,90 · CLARITY ≥ 0,85 · COHERENCE ≥ 0,90 · CONTRADICTION = 0. COVER / ACCURACY / CONTRADICTION ne se moyennent pas.</t>
  </si>
  <si>
    <t xml:space="preserve">Non-suggestion — signaux bloquants</t>
  </si>
  <si>
    <t xml:space="preserve">Action nouvelle précise · Séquence même précédée d'une négation · Choix qui décrit le danger · Correction qui répète le geste · Danger amusant ou héroïque · Héros modèle risqué · Bruitage de jeu sur le risque.</t>
  </si>
  <si>
    <t xml:space="preserve">Ontologie des dangers (interne, jamais dans l'audio)</t>
  </si>
  <si>
    <t xml:space="preserve">Circulation · Hauteur · Électricité · Feu · Eau · Ingestion · Coupant · Médicaments · S'éloigner d'un adulte connu. Pour chaque catégorie : action sûre enfant + niveau de revue. Les exemples opératoires restent dans ce référentiel.</t>
  </si>
  <si>
    <t xml:space="preserve">Adversaire — questions obligatoires</t>
  </si>
  <si>
    <t xml:space="preserve">Quelle leçon un enfant retiendrait-il vraiment ? Quelle action nouvelle voudrait-il tester ? Que se passe-t-il si la négation est mal lue ? Qui est récompensé, ridiculisé, exclu ? Le récit peut-il enseigner l'inverse ?</t>
  </si>
  <si>
    <t xml:space="preserve">Pas de TTS avant APPROVED_TEXT. Toute retouche texte invalide l'audio. ASR : divergence substantielle = rejet. Durées = fichiers réels + pauses + interactions.</t>
  </si>
  <si>
    <t xml:space="preserve">Après publication</t>
  </si>
  <si>
    <t xml:space="preserve">Changement de règle → retest ciblé. Risque critique découvert → retrait des paquets déjà téléchargés (VAL-TRACE-002 + F-ADM-002).</t>
  </si>
  <si>
    <t xml:space="preserve">Couche</t>
  </si>
  <si>
    <t xml:space="preserve">Phase VAL</t>
  </si>
  <si>
    <t xml:space="preserve">VAL-001</t>
  </si>
  <si>
    <t xml:space="preserve">Gouvernance</t>
  </si>
  <si>
    <t xml:space="preserve">Le générateur ne s'auto-approuve pas</t>
  </si>
  <si>
    <t xml:space="preserve">Publication = preuves signées d'un autre service.</t>
  </si>
  <si>
    <t xml:space="preserve">VAL-5</t>
  </si>
  <si>
    <t xml:space="preserve">VAL-002</t>
  </si>
  <si>
    <t xml:space="preserve">Une violation bloquante tue l'arbre</t>
  </si>
  <si>
    <t xml:space="preserve">Un seul chemin défaillant suffit. Pas de moyenne miracle.</t>
  </si>
  <si>
    <t xml:space="preserve">VAL-003</t>
  </si>
  <si>
    <t xml:space="preserve">Décisions reproductibles</t>
  </si>
  <si>
    <t xml:space="preserve">Règle, version, span, modèle, paramètres. On rejoue le contrôle.</t>
  </si>
  <si>
    <t xml:space="preserve">États d'orchestrateur</t>
  </si>
  <si>
    <t xml:space="preserve">REJECTED / REVISION_REQUIRED / HUMAN_REVIEW_REQUIRED / APPROVED_TEXT / APPROVED_PACKAGE.</t>
  </si>
  <si>
    <t xml:space="preserve">VAL-DEC-002</t>
  </si>
  <si>
    <t xml:space="preserve">Gravités</t>
  </si>
  <si>
    <t xml:space="preserve">BLOQUANT rejet. MAJEUR révision ou humain. MINEUR reco. INFO journal.</t>
  </si>
  <si>
    <t xml:space="preserve">Contrat</t>
  </si>
  <si>
    <t xml:space="preserve">Fiche avant génération</t>
  </si>
  <si>
    <t xml:space="preserve">Pas d'arbre sans contrat versionné.</t>
  </si>
  <si>
    <t xml:space="preserve">VAL-1</t>
  </si>
  <si>
    <t xml:space="preserve">VAL-PED-002</t>
  </si>
  <si>
    <t xml:space="preserve">Messages essentiels par chemin</t>
  </si>
  <si>
    <t xml:space="preserve">required_messages présents, misconceptions absentes.</t>
  </si>
  <si>
    <t xml:space="preserve">VAL-4</t>
  </si>
  <si>
    <t xml:space="preserve">VAL-PED-010</t>
  </si>
  <si>
    <t xml:space="preserve">Preuve</t>
  </si>
  <si>
    <t xml:space="preserve">Six preuves minimales</t>
  </si>
  <si>
    <t xml:space="preserve">Situation, enjeu, modèle sûr, mobilisation, confirmation, conséquence non inverse.</t>
  </si>
  <si>
    <t xml:space="preserve">VAL-PED-011</t>
  </si>
  <si>
    <t xml:space="preserve">Leçon réellement retenue</t>
  </si>
  <si>
    <t xml:space="preserve">Le validateur dit ce qu'un enfant retiendrait, puis compare.</t>
  </si>
  <si>
    <t xml:space="preserve">VAL-PED-012</t>
  </si>
  <si>
    <t xml:space="preserve">Scores non moyennables</t>
  </si>
  <si>
    <t xml:space="preserve">ALIGN COVER ACCURACY ACTION CLARITY COHERENCE CONTRADICTION. COVER/ACCURACY/CONTRADICTION bloquants si fail.</t>
  </si>
  <si>
    <t xml:space="preserve">VAL-NEU-001</t>
  </si>
  <si>
    <t xml:space="preserve">Neutralité</t>
  </si>
  <si>
    <t xml:space="preserve">Contexte, pas liste seule</t>
  </si>
  <si>
    <t xml:space="preserve">Rôle du mot. Narrateur / héros / opposant / correction séparés.</t>
  </si>
  <si>
    <t xml:space="preserve">VAL-3</t>
  </si>
  <si>
    <t xml:space="preserve">VAL-NEU-002</t>
  </si>
  <si>
    <t xml:space="preserve">Comportement pas étiquette</t>
  </si>
  <si>
    <t xml:space="preserve">Pas « méchant / bizarre / hyperactif ». Pas de menace affective.</t>
  </si>
  <si>
    <t xml:space="preserve">VAL-NEU-004</t>
  </si>
  <si>
    <t xml:space="preserve">Moquerie contenue</t>
  </si>
  <si>
    <t xml:space="preserve">Brève, justifiée, réparée. N'apprend pas un surnom.</t>
  </si>
  <si>
    <t xml:space="preserve">Religion politique guerre crime genre famille hors papa-maman-enfants : absents de l'audio.</t>
  </si>
  <si>
    <t xml:space="preserve">VAL-SAFE-001</t>
  </si>
  <si>
    <t xml:space="preserve">Danger</t>
  </si>
  <si>
    <t xml:space="preserve">Même filtre partout</t>
  </si>
  <si>
    <t xml:space="preserve">Texte, question, correction, audio. Ontologie interne jamais lue à l'enfant.</t>
  </si>
  <si>
    <t xml:space="preserve">Action précise, séquence niée, choix-piège, correction qui répète, danger-jeu, héros modèle, bruitage.</t>
  </si>
  <si>
    <t xml:space="preserve">VAL-SAFE-003</t>
  </si>
  <si>
    <t xml:space="preserve">Script positif obligatoire</t>
  </si>
  <si>
    <t xml:space="preserve">Action sûre, place du corps, adulte, pas d'opératoire, question sûre, correction sûre.</t>
  </si>
  <si>
    <t xml:space="preserve">VAL-SAFE-004</t>
  </si>
  <si>
    <t xml:space="preserve">Ontologie interne</t>
  </si>
  <si>
    <t xml:space="preserve">Catégories, contextes, acteurs, actions sûres, revue.</t>
  </si>
  <si>
    <t xml:space="preserve">VAL-SAFE-005</t>
  </si>
  <si>
    <t xml:space="preserve">Revue renforcée physique</t>
  </si>
  <si>
    <t xml:space="preserve">Rue, hauteur, électricité, feu, eau, ingestion, coupant, médicaments.</t>
  </si>
  <si>
    <t xml:space="preserve">VAL-7</t>
  </si>
  <si>
    <t xml:space="preserve">Graphe</t>
  </si>
  <si>
    <t xml:space="preserve">Racine, feuilles, pas d'orphelin, pas de boucle, replis définis.</t>
  </si>
  <si>
    <t xml:space="preserve">VAL-2</t>
  </si>
  <si>
    <t xml:space="preserve">Énumération. Échantillonnage interdit. Rapport théoriques/testés/approuvés.</t>
  </si>
  <si>
    <t xml:space="preserve">VAL-GRAPH-003</t>
  </si>
  <si>
    <t xml:space="preserve">Trois niveaux</t>
  </si>
  <si>
    <t xml:space="preserve">Élément, contexte local, chemin complet.</t>
  </si>
  <si>
    <t xml:space="preserve">VAL-GRAPH-004</t>
  </si>
  <si>
    <t xml:space="preserve">Élagage vs exclusions</t>
  </si>
  <si>
    <t xml:space="preserve">Pas d'option fantôme. Paquet compatible avec les filtres déclarés.</t>
  </si>
  <si>
    <t xml:space="preserve">VAL-INT-001</t>
  </si>
  <si>
    <t xml:space="preserve">Voix</t>
  </si>
  <si>
    <t xml:space="preserve">Contrat de question</t>
  </si>
  <si>
    <t xml:space="preserve">Sans image, 1-3 mots, intentions, négation, relance, NO_ANSWER, correction positive.</t>
  </si>
  <si>
    <t xml:space="preserve">VAL-AI-001</t>
  </si>
  <si>
    <t xml:space="preserve">Sémantique</t>
  </si>
  <si>
    <t xml:space="preserve">Sortie JSON obligatoire</t>
  </si>
  <si>
    <t xml:space="preserve">Pas d'avis libre. Sortie invalide = échec technique.</t>
  </si>
  <si>
    <t xml:space="preserve">VAL-AI-002</t>
  </si>
  <si>
    <t xml:space="preserve">Deux validateurs + adversaire</t>
  </si>
  <si>
    <t xml:space="preserve">Désaccord → humain. Questions : leçon retenue, geste imitable, négation, qui est récompensé.</t>
  </si>
  <si>
    <t xml:space="preserve">VAL-AI-003</t>
  </si>
  <si>
    <t xml:space="preserve">Chemin entier en entrée</t>
  </si>
  <si>
    <t xml:space="preserve">Texte + contrat + chemin. Pas phrase à phrase seul.</t>
  </si>
  <si>
    <t xml:space="preserve">VAL-HUM-001</t>
  </si>
  <si>
    <t xml:space="preserve">Humain</t>
  </si>
  <si>
    <t xml:space="preserve">Matrice de revue</t>
  </si>
  <si>
    <t xml:space="preserve">Voir onglet Revue humaine.</t>
  </si>
  <si>
    <t xml:space="preserve">VAL-HUM-002</t>
  </si>
  <si>
    <t xml:space="preserve">Approbation nominative</t>
  </si>
  <si>
    <t xml:space="preserve">Écoute aussi sans alertes. Datée, liée à une version, révocable.</t>
  </si>
  <si>
    <t xml:space="preserve">Texte figé avant TTS</t>
  </si>
  <si>
    <t xml:space="preserve">Retouche texte = invalidation audio.</t>
  </si>
  <si>
    <t xml:space="preserve">VAL-6</t>
  </si>
  <si>
    <t xml:space="preserve">ASR vs texte</t>
  </si>
  <si>
    <t xml:space="preserve">Divergence substantielle = rejet. Pas d'audio d'ancienne version.</t>
  </si>
  <si>
    <t xml:space="preserve">VAL-AUD-003</t>
  </si>
  <si>
    <t xml:space="preserve">Intelligibilité + durées</t>
  </si>
  <si>
    <t xml:space="preserve">Vitesse, pauses, volume, bruitages, raccords. Durées réelles par chemin.</t>
  </si>
  <si>
    <t xml:space="preserve">VAL-DRT-001</t>
  </si>
  <si>
    <t xml:space="preserve">Droit</t>
  </si>
  <si>
    <t xml:space="preserve">Franchise et marque</t>
  </si>
  <si>
    <t xml:space="preserve">Imitation reconnaissable = bloquant.</t>
  </si>
  <si>
    <t xml:space="preserve">VAL-TEST-001</t>
  </si>
  <si>
    <t xml:space="preserve">Calibration</t>
  </si>
  <si>
    <t xml:space="preserve">Corpus et mutations</t>
  </si>
  <si>
    <t xml:space="preserve">Positifs, négatifs, implicites, négations, étiquettes, oralité, mutation d'une faute, non-régression.</t>
  </si>
  <si>
    <t xml:space="preserve">VAL-TEST-002</t>
  </si>
  <si>
    <t xml:space="preserve">Rappel / précision</t>
  </si>
  <si>
    <t xml:space="preserve">Rappel sécurité prioritaire. Couverture chemins = 100 %.</t>
  </si>
  <si>
    <t xml:space="preserve">VAL-TRACE-002</t>
  </si>
  <si>
    <t xml:space="preserve">Exploitation</t>
  </si>
  <si>
    <t xml:space="preserve">Retest et retrait</t>
  </si>
  <si>
    <t xml:space="preserve">Règle nouvelle → retest ciblé. Risque critique → purge des paquets déjà DL.</t>
  </si>
  <si>
    <t xml:space="preserve">Sujet</t>
  </si>
  <si>
    <t xml:space="preserve">Revue minimale</t>
  </si>
  <si>
    <t xml:space="preserve">Exemples de leçons</t>
  </si>
  <si>
    <t xml:space="preserve">Sécurité physique / circulation</t>
  </si>
  <si>
    <t xml:space="preserve">Éditoriale renforcée + spécialiste selon catégorie</t>
  </si>
  <si>
    <t xml:space="preserve">SEC.RUE.* SEC.MAI.* SOC.TRA.002</t>
  </si>
  <si>
    <t xml:space="preserve">Conflit entre enfants</t>
  </si>
  <si>
    <t xml:space="preserve">Éditoriale</t>
  </si>
  <si>
    <t xml:space="preserve">REL.CON.* EMO.LEX.005</t>
  </si>
  <si>
    <t xml:space="preserve">Moqueries / corps / énergie</t>
  </si>
  <si>
    <t xml:space="preserve">Relecteur formé aux différences du quotidien</t>
  </si>
  <si>
    <t xml:space="preserve">REL.MOQ.* DIF.*</t>
  </si>
  <si>
    <t xml:space="preserve">Secrets, malaise, protection</t>
  </si>
  <si>
    <t xml:space="preserve">Protection de l'enfance</t>
  </si>
  <si>
    <t xml:space="preserve">FAM.SEC.002 COL.ECO.001</t>
  </si>
  <si>
    <t xml:space="preserve">Santé clinique / médicaments</t>
  </si>
  <si>
    <t xml:space="preserve">Professionnel compétent — hors catalogue V1 sauf demande</t>
  </si>
  <si>
    <t xml:space="preserve">aucune leçon V1</t>
  </si>
  <si>
    <t xml:space="preserve">Trouble nommé (TDAH, etc.)</t>
  </si>
  <si>
    <t xml:space="preserve">Spécialiste — sinon on décrit le besoin sans étiquette</t>
  </si>
  <si>
    <t xml:space="preserve">DIF.ENE.001 reste descriptif</t>
  </si>
  <si>
    <t xml:space="preserve">Leçon saisie par un parent</t>
  </si>
  <si>
    <t xml:space="preserve">Qualification avant toute génération enfant</t>
  </si>
  <si>
    <t xml:space="preserve">F-CUS-*</t>
  </si>
  <si>
    <t xml:space="preserve">Droit / franchise</t>
  </si>
  <si>
    <t xml:space="preserve">Juridique si doute</t>
  </si>
  <si>
    <t xml:space="preserve">Contrats de données — F-SCH-001</t>
  </si>
  <si>
    <t xml:space="preserve">Objet</t>
  </si>
  <si>
    <t xml:space="preserve">Champs minimum</t>
  </si>
  <si>
    <t xml:space="preserve">Notes</t>
  </si>
  <si>
    <t xml:space="preserve">lesson_id, version, title, age_band, objective, required_messages[], safe_actions[], misconceptions[], forbidden_messages[], answer_intents[], framing, sensitivity, compatible_lessons[], banned_child_audio[]</t>
  </si>
  <si>
    <t xml:space="preserve">ID = SEC.RUE.002</t>
  </si>
  <si>
    <t xml:space="preserve">node</t>
  </si>
  <si>
    <t xml:space="preserve">node_id, type, audio_ref, text_approved, lesson_ids[], next[], default_next, intents[]</t>
  </si>
  <si>
    <t xml:space="preserve">type enum du moteur</t>
  </si>
  <si>
    <t xml:space="preserve">intent</t>
  </si>
  <si>
    <t xml:space="preserve">intent_id, examples[], forbidden_phrases[], negation_policy, on_match, on_wrong, on_ambiguous, on_silence</t>
  </si>
  <si>
    <t xml:space="preserve">négation avant similarité</t>
  </si>
  <si>
    <t xml:space="preserve">tree</t>
  </si>
  <si>
    <t xml:space="preserve">tree_id, version, age_band, duration_min_ms, duration_avg_ms, duration_max_ms, root_id, lessons_primary[], lessons_secondary[], endings[]</t>
  </si>
  <si>
    <t xml:space="preserve">durées = audio réel</t>
  </si>
  <si>
    <t xml:space="preserve">validation_report</t>
  </si>
  <si>
    <t xml:space="preserve">tree_id, tree_version, lesson_contracts[], paths_theoretical, paths_tested, paths_approved, blocking_findings[], scores{}, ruleset_version, final_status</t>
  </si>
  <si>
    <t xml:space="preserve">final_status enum orchestrateur</t>
  </si>
  <si>
    <t xml:space="preserve">package_manifest</t>
  </si>
  <si>
    <t xml:space="preserve">tree_id, tree_version, files[{path, sha256, duration_ms}], report_id, status=APPROVED_PACKAGE</t>
  </si>
  <si>
    <t xml:space="preserve">activation atomique</t>
  </si>
  <si>
    <t xml:space="preserve">enum node.type</t>
  </si>
  <si>
    <t xml:space="preserve">audio | question_comprehension | question_lesson | choice_story | feedback | transition | silence_check | ending</t>
  </si>
  <si>
    <t xml:space="preserve">enum local_state</t>
  </si>
  <si>
    <t xml:space="preserve">AVAILABLE | IN_PROGRESS | CONSUMED | REPLAYABLE | EVICTION_CANDIDATE | REMOVED | EXCLUDED | DOWNLOAD_PENDING</t>
  </si>
  <si>
    <t xml:space="preserve">enum val_status</t>
  </si>
  <si>
    <t xml:space="preserve">REJECTED | REVISION_REQUIRED | HUMAN_REVIEW_REQUIRED | APPROVED_TEXT | APPROVED_PACKAGE</t>
  </si>
  <si>
    <t xml:space="preserve">enum voice_result</t>
  </si>
  <si>
    <t xml:space="preserve">MATCH | WRONG_EDUCATIONAL | AMBIGUOUS | NO_ANSWER | TECHNICAL_ERROR</t>
  </si>
  <si>
    <t xml:space="preserve">enum framing</t>
  </si>
  <si>
    <t xml:space="preserve">positive_only_critical | standard | emotional | respect</t>
  </si>
  <si>
    <t xml:space="preserve">enum sensitivity</t>
  </si>
  <si>
    <t xml:space="preserve">standard | enhanced | specialist</t>
  </si>
  <si>
    <t xml:space="preserve">enum vague</t>
  </si>
  <si>
    <t xml:space="preserve">V1-pilote | V1 | V1.1 | Plus tard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</si>
</sst>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5D50"/>
      <name val="Calibri"/>
      <family val="0"/>
      <charset val="1"/>
    </font>
    <font>
      <i val="true"/>
      <sz val="11"/>
      <color rgb="FF5A5A5A"/>
      <name val="Calibri"/>
      <family val="0"/>
      <charset val="1"/>
    </font>
    <font>
      <b val="true"/>
      <sz val="11"/>
      <color rgb="FF2F5D50"/>
      <name val="Calibri"/>
      <family val="0"/>
      <charset val="1"/>
    </font>
    <font>
      <sz val="10"/>
      <color rgb="FF2C2C2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C45C26"/>
      <name val="Calibri"/>
      <family val="0"/>
      <charset val="1"/>
    </font>
    <font>
      <b val="true"/>
      <sz val="14"/>
      <color rgb="FF2C2C2C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D50"/>
        <bgColor rgb="FF5A5A5A"/>
      </patternFill>
    </fill>
    <fill>
      <patternFill patternType="solid">
        <fgColor rgb="FFF4F7F6"/>
        <bgColor rgb="FFF7F1E8"/>
      </patternFill>
    </fill>
    <fill>
      <patternFill patternType="solid">
        <fgColor rgb="FFF8D7D0"/>
        <bgColor rgb="FFF8EDE4"/>
      </patternFill>
    </fill>
    <fill>
      <patternFill patternType="solid">
        <fgColor rgb="FFE6F0EC"/>
        <bgColor rgb="FFE8F5E9"/>
      </patternFill>
    </fill>
    <fill>
      <patternFill patternType="solid">
        <fgColor rgb="FFF8EDE4"/>
        <bgColor rgb="FFF7F1E8"/>
      </patternFill>
    </fill>
    <fill>
      <patternFill patternType="solid">
        <fgColor rgb="FFEEEEEE"/>
        <bgColor rgb="FFE6F0EC"/>
      </patternFill>
    </fill>
    <fill>
      <patternFill patternType="solid">
        <fgColor rgb="FFE8F5E9"/>
        <bgColor rgb="FFE6F0EC"/>
      </patternFill>
    </fill>
    <fill>
      <patternFill patternType="solid">
        <fgColor rgb="FFC8E6C9"/>
        <bgColor rgb="FFD0D5D3"/>
      </patternFill>
    </fill>
    <fill>
      <patternFill patternType="solid">
        <fgColor rgb="FFFFF8E1"/>
        <bgColor rgb="FFF7F1E8"/>
      </patternFill>
    </fill>
    <fill>
      <patternFill patternType="solid">
        <fgColor rgb="FFF7F1E8"/>
        <bgColor rgb="FFF8ED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3"/>
      </left>
      <right style="thin">
        <color rgb="FFD0D5D3"/>
      </right>
      <top style="thin">
        <color rgb="FFD0D5D3"/>
      </top>
      <bottom style="thin">
        <color rgb="FFD0D5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F5D50"/>
          <bgColor rgb="FF000000"/>
        </patternFill>
      </fill>
    </dxf>
    <dxf>
      <fill>
        <patternFill patternType="solid">
          <fgColor rgb="FFF8D7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45C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C2C"/>
          <bgColor rgb="FF000000"/>
        </patternFill>
      </fill>
    </dxf>
    <dxf>
      <fill>
        <patternFill patternType="solid">
          <fgColor rgb="FFE6F0EC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F8EDE4"/>
          <bgColor rgb="FF000000"/>
        </patternFill>
      </fill>
    </dxf>
    <dxf>
      <fill>
        <patternFill patternType="solid">
          <fgColor rgb="FFF4F7F6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FFF8E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EEEEE"/>
      <rgbColor rgb="FF808080"/>
      <rgbColor rgb="FF9999FF"/>
      <rgbColor rgb="FF993366"/>
      <rgbColor rgb="FFFFF8E1"/>
      <rgbColor rgb="FFE8F5E9"/>
      <rgbColor rgb="FF660066"/>
      <rgbColor rgb="FFFF8080"/>
      <rgbColor rgb="FF0066CC"/>
      <rgbColor rgb="FFD0D5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EC"/>
      <rgbColor rgb="FFC8E6C9"/>
      <rgbColor rgb="FFF7F1E8"/>
      <rgbColor rgb="FFF8EDE4"/>
      <rgbColor rgb="FFF4F7F6"/>
      <rgbColor rgb="FFCC99FF"/>
      <rgbColor rgb="FFF8D7D0"/>
      <rgbColor rgb="FF3366FF"/>
      <rgbColor rgb="FF33CCCC"/>
      <rgbColor rgb="FF99CC00"/>
      <rgbColor rgb="FFFFCC00"/>
      <rgbColor rgb="FFFF9900"/>
      <rgbColor rgb="FFC45C26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2F5D50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  <col collapsed="false" customWidth="true" hidden="false" outlineLevel="0" max="6" min="3" style="0" width="14"/>
  </cols>
  <sheetData>
    <row r="2" customFormat="false" ht="22.0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4" t="s">
        <v>4</v>
      </c>
      <c r="C7" s="4"/>
      <c r="D7" s="4"/>
      <c r="E7" s="4"/>
      <c r="F7" s="4"/>
    </row>
    <row r="8" customFormat="false" ht="15" hidden="false" customHeight="false" outlineLevel="0" collapsed="false">
      <c r="B8" s="4" t="s">
        <v>5</v>
      </c>
      <c r="C8" s="4"/>
      <c r="D8" s="4"/>
      <c r="E8" s="4"/>
      <c r="F8" s="4"/>
    </row>
    <row r="9" customFormat="false" ht="15" hidden="false" customHeight="false" outlineLevel="0" collapsed="false">
      <c r="B9" s="4" t="s">
        <v>6</v>
      </c>
      <c r="C9" s="4"/>
      <c r="D9" s="4"/>
      <c r="E9" s="4"/>
      <c r="F9" s="4"/>
    </row>
    <row r="10" customFormat="false" ht="15" hidden="false" customHeight="false" outlineLevel="0" collapsed="false">
      <c r="B10" s="4" t="s">
        <v>7</v>
      </c>
      <c r="C10" s="4"/>
      <c r="D10" s="4"/>
      <c r="E10" s="4"/>
      <c r="F10" s="4"/>
    </row>
    <row r="11" customFormat="false" ht="15" hidden="false" customHeight="false" outlineLevel="0" collapsed="false">
      <c r="B11" s="4" t="s">
        <v>8</v>
      </c>
      <c r="C11" s="4"/>
      <c r="D11" s="4"/>
      <c r="E11" s="4"/>
      <c r="F11" s="4"/>
    </row>
    <row r="12" customFormat="false" ht="15" hidden="false" customHeight="false" outlineLevel="0" collapsed="false">
      <c r="B12" s="4" t="s">
        <v>9</v>
      </c>
      <c r="C12" s="4"/>
      <c r="D12" s="4"/>
      <c r="E12" s="4"/>
      <c r="F12" s="4"/>
    </row>
    <row r="13" customFormat="false" ht="15" hidden="false" customHeight="false" outlineLevel="0" collapsed="false">
      <c r="B13" s="4" t="s">
        <v>10</v>
      </c>
      <c r="C13" s="4"/>
      <c r="D13" s="4"/>
      <c r="E13" s="4"/>
      <c r="F13" s="4"/>
    </row>
    <row r="14" customFormat="false" ht="15" hidden="false" customHeight="false" outlineLevel="0" collapsed="false">
      <c r="B14" s="4" t="s">
        <v>11</v>
      </c>
      <c r="C14" s="4"/>
      <c r="D14" s="4"/>
      <c r="E14" s="4"/>
      <c r="F14" s="4"/>
    </row>
    <row r="15" customFormat="false" ht="15" hidden="false" customHeight="false" outlineLevel="0" collapsed="false">
      <c r="B15" s="4" t="s">
        <v>12</v>
      </c>
      <c r="C15" s="4"/>
      <c r="D15" s="4"/>
      <c r="E15" s="4"/>
      <c r="F15" s="4"/>
    </row>
    <row r="16" customFormat="false" ht="15" hidden="false" customHeight="false" outlineLevel="0" collapsed="false">
      <c r="B16" s="4" t="s">
        <v>13</v>
      </c>
      <c r="C16" s="4"/>
      <c r="D16" s="4"/>
      <c r="E16" s="4"/>
      <c r="F16" s="4"/>
    </row>
    <row r="18" customFormat="false" ht="15" hidden="false" customHeight="false" outlineLevel="0" collapsed="false">
      <c r="B18" s="3" t="s">
        <v>14</v>
      </c>
      <c r="C18" s="3"/>
      <c r="D18" s="3"/>
      <c r="E18" s="3"/>
      <c r="F18" s="3"/>
    </row>
    <row r="19" customFormat="false" ht="15" hidden="false" customHeight="false" outlineLevel="0" collapsed="false">
      <c r="B19" s="4" t="s">
        <v>15</v>
      </c>
      <c r="C19" s="4"/>
      <c r="D19" s="4"/>
      <c r="E19" s="4"/>
      <c r="F19" s="4"/>
    </row>
    <row r="20" customFormat="false" ht="15" hidden="false" customHeight="false" outlineLevel="0" collapsed="false">
      <c r="B20" s="4" t="s">
        <v>16</v>
      </c>
      <c r="C20" s="4"/>
      <c r="D20" s="4"/>
      <c r="E20" s="4"/>
      <c r="F20" s="4"/>
    </row>
    <row r="21" customFormat="false" ht="15" hidden="false" customHeight="false" outlineLevel="0" collapsed="false">
      <c r="B21" s="4" t="s">
        <v>17</v>
      </c>
      <c r="C21" s="4"/>
      <c r="D21" s="4"/>
      <c r="E21" s="4"/>
      <c r="F21" s="4"/>
    </row>
  </sheetData>
  <mergeCells count="18">
    <mergeCell ref="B2:F2"/>
    <mergeCell ref="B3:F3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00-Lisez-moi</oddHeader>
    <oddFooter>&amp;RPage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5" t="s">
        <v>18</v>
      </c>
    </row>
    <row r="4" customFormat="false" ht="21.75" hidden="false" customHeight="true" outlineLevel="0" collapsed="false">
      <c r="A4" s="6" t="s">
        <v>19</v>
      </c>
      <c r="B4" s="6" t="s">
        <v>20</v>
      </c>
    </row>
    <row r="5" customFormat="false" ht="21.75" hidden="false" customHeight="true" outlineLevel="0" collapsed="false">
      <c r="A5" s="7" t="n">
        <v>1</v>
      </c>
      <c r="B5" s="8" t="s">
        <v>21</v>
      </c>
    </row>
    <row r="6" customFormat="false" ht="21.75" hidden="false" customHeight="true" outlineLevel="0" collapsed="false">
      <c r="A6" s="9" t="n">
        <v>2</v>
      </c>
      <c r="B6" s="10" t="s">
        <v>22</v>
      </c>
    </row>
    <row r="7" customFormat="false" ht="21.75" hidden="false" customHeight="true" outlineLevel="0" collapsed="false">
      <c r="A7" s="7" t="n">
        <v>3</v>
      </c>
      <c r="B7" s="8" t="s">
        <v>23</v>
      </c>
    </row>
    <row r="8" customFormat="false" ht="21.75" hidden="false" customHeight="true" outlineLevel="0" collapsed="false">
      <c r="A8" s="9" t="n">
        <v>4</v>
      </c>
      <c r="B8" s="10" t="s">
        <v>24</v>
      </c>
    </row>
    <row r="9" customFormat="false" ht="21.75" hidden="false" customHeight="true" outlineLevel="0" collapsed="false">
      <c r="A9" s="7" t="n">
        <v>5</v>
      </c>
      <c r="B9" s="8" t="s">
        <v>25</v>
      </c>
    </row>
    <row r="10" customFormat="false" ht="21.75" hidden="false" customHeight="true" outlineLevel="0" collapsed="false">
      <c r="A10" s="9" t="n">
        <v>6</v>
      </c>
      <c r="B10" s="10" t="s">
        <v>26</v>
      </c>
    </row>
    <row r="11" customFormat="false" ht="21.75" hidden="false" customHeight="true" outlineLevel="0" collapsed="false">
      <c r="A11" s="7" t="n">
        <v>7</v>
      </c>
      <c r="B11" s="8" t="s">
        <v>27</v>
      </c>
    </row>
    <row r="12" customFormat="false" ht="21.75" hidden="false" customHeight="true" outlineLevel="0" collapsed="false">
      <c r="A12" s="9" t="n">
        <v>8</v>
      </c>
      <c r="B12" s="10" t="s">
        <v>28</v>
      </c>
    </row>
    <row r="13" customFormat="false" ht="21.75" hidden="false" customHeight="true" outlineLevel="0" collapsed="false">
      <c r="A13" s="7" t="n">
        <v>9</v>
      </c>
      <c r="B13" s="8" t="s">
        <v>29</v>
      </c>
    </row>
    <row r="14" customFormat="false" ht="21.75" hidden="false" customHeight="true" outlineLevel="0" collapsed="false">
      <c r="A14" s="9" t="n">
        <v>10</v>
      </c>
      <c r="B14" s="10" t="s">
        <v>30</v>
      </c>
    </row>
    <row r="15" customFormat="false" ht="21.75" hidden="false" customHeight="true" outlineLevel="0" collapsed="false">
      <c r="A15" s="7" t="n">
        <v>11</v>
      </c>
      <c r="B15" s="8" t="s">
        <v>31</v>
      </c>
    </row>
    <row r="16" customFormat="false" ht="21.75" hidden="false" customHeight="true" outlineLevel="0" collapsed="false">
      <c r="A16" s="9" t="n">
        <v>12</v>
      </c>
      <c r="B16" s="10" t="s">
        <v>32</v>
      </c>
    </row>
    <row r="17" customFormat="false" ht="21.75" hidden="false" customHeight="true" outlineLevel="0" collapsed="false">
      <c r="A17" s="7" t="n">
        <v>13</v>
      </c>
      <c r="B17" s="8" t="s">
        <v>33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01-Hors-périmètre</oddHeader>
    <oddFooter>&amp;RPage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</cols>
  <sheetData>
    <row r="2" customFormat="false" ht="22.05" hidden="false" customHeight="false" outlineLevel="0" collapsed="false">
      <c r="B2" s="5" t="s">
        <v>34</v>
      </c>
    </row>
    <row r="4" customFormat="false" ht="17.35" hidden="false" customHeight="false" outlineLevel="0" collapsed="false">
      <c r="B4" s="11" t="s">
        <v>35</v>
      </c>
      <c r="C4" s="12" t="n">
        <f aca="false">COUNTA('10-Features'!A2:A68)</f>
        <v>67</v>
      </c>
    </row>
    <row r="5" customFormat="false" ht="17.35" hidden="false" customHeight="false" outlineLevel="0" collapsed="false">
      <c r="B5" s="11" t="s">
        <v>36</v>
      </c>
      <c r="C5" s="13" t="n">
        <f aca="false">COUNTIF('10-Features'!E:E,"P0")</f>
        <v>31</v>
      </c>
    </row>
    <row r="6" customFormat="false" ht="17.35" hidden="false" customHeight="false" outlineLevel="0" collapsed="false">
      <c r="B6" s="11" t="s">
        <v>37</v>
      </c>
      <c r="C6" s="12" t="n">
        <f aca="false">COUNTIF('10-Features'!E:E,"P1")</f>
        <v>24</v>
      </c>
    </row>
    <row r="7" customFormat="false" ht="17.35" hidden="false" customHeight="false" outlineLevel="0" collapsed="false">
      <c r="B7" s="11" t="s">
        <v>38</v>
      </c>
      <c r="C7" s="12" t="n">
        <f aca="false">COUNTIF('10-Features'!E:E,"P2")</f>
        <v>9</v>
      </c>
    </row>
    <row r="8" customFormat="false" ht="17.35" hidden="false" customHeight="false" outlineLevel="0" collapsed="false">
      <c r="B8" s="11" t="s">
        <v>39</v>
      </c>
      <c r="C8" s="12" t="n">
        <f aca="false">COUNTIF('10-Features'!E:E,"P3")</f>
        <v>3</v>
      </c>
    </row>
    <row r="10" customFormat="false" ht="17.35" hidden="false" customHeight="false" outlineLevel="0" collapsed="false">
      <c r="B10" s="11" t="s">
        <v>40</v>
      </c>
      <c r="C10" s="12" t="n">
        <f aca="false">COUNTIF('10-Features'!I:I,"À faire")</f>
        <v>67</v>
      </c>
    </row>
    <row r="11" customFormat="false" ht="17.35" hidden="false" customHeight="false" outlineLevel="0" collapsed="false">
      <c r="B11" s="11" t="s">
        <v>41</v>
      </c>
      <c r="C11" s="12" t="n">
        <f aca="false">COUNTIF('10-Features'!I:I,"En cours")</f>
        <v>0</v>
      </c>
    </row>
    <row r="12" customFormat="false" ht="17.35" hidden="false" customHeight="false" outlineLevel="0" collapsed="false">
      <c r="B12" s="11" t="s">
        <v>42</v>
      </c>
      <c r="C12" s="12" t="n">
        <f aca="false">COUNTIF('10-Features'!I:I,"Fait")</f>
        <v>0</v>
      </c>
    </row>
    <row r="13" customFormat="false" ht="17.35" hidden="false" customHeight="false" outlineLevel="0" collapsed="false">
      <c r="B13" s="11" t="s">
        <v>43</v>
      </c>
      <c r="C13" s="14" t="n">
        <f aca="false">IF(C4=0,0,C12/C4)</f>
        <v>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11-Suivi-features</oddHeader>
    <oddFooter>&amp;RPage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2"/>
  </cols>
  <sheetData>
    <row r="2" customFormat="false" ht="22.05" hidden="false" customHeight="false" outlineLevel="0" collapsed="false">
      <c r="B2" s="5" t="s">
        <v>44</v>
      </c>
    </row>
    <row r="4" customFormat="false" ht="17.35" hidden="false" customHeight="false" outlineLevel="0" collapsed="false">
      <c r="B4" s="11" t="s">
        <v>35</v>
      </c>
      <c r="C4" s="12" t="n">
        <f aca="false">COUNTA('31-Backlog-validation'!A2:A37)</f>
        <v>36</v>
      </c>
    </row>
    <row r="5" customFormat="false" ht="17.35" hidden="false" customHeight="false" outlineLevel="0" collapsed="false">
      <c r="B5" s="11" t="s">
        <v>36</v>
      </c>
      <c r="C5" s="13" t="n">
        <f aca="false">COUNTIF('31-Backlog-validation'!E:E,"P0")</f>
        <v>20</v>
      </c>
    </row>
    <row r="6" customFormat="false" ht="17.35" hidden="false" customHeight="false" outlineLevel="0" collapsed="false">
      <c r="B6" s="11" t="s">
        <v>37</v>
      </c>
      <c r="C6" s="12" t="n">
        <f aca="false">COUNTIF('31-Backlog-validation'!E:E,"P1")</f>
        <v>14</v>
      </c>
    </row>
    <row r="7" customFormat="false" ht="17.35" hidden="false" customHeight="false" outlineLevel="0" collapsed="false">
      <c r="B7" s="11" t="s">
        <v>40</v>
      </c>
      <c r="C7" s="12" t="n">
        <f aca="false">COUNTIF('31-Backlog-validation'!G:G,"À faire")</f>
        <v>36</v>
      </c>
    </row>
    <row r="8" customFormat="false" ht="17.35" hidden="false" customHeight="false" outlineLevel="0" collapsed="false">
      <c r="B8" s="11" t="s">
        <v>42</v>
      </c>
      <c r="C8" s="12" t="n">
        <f aca="false">COUNTIF('31-Backlog-validation'!G:G,"Fait")</f>
        <v>0</v>
      </c>
    </row>
    <row r="9" customFormat="false" ht="17.35" hidden="false" customHeight="false" outlineLevel="0" collapsed="false">
      <c r="B9" s="11" t="s">
        <v>43</v>
      </c>
      <c r="C9" s="14" t="n">
        <f aca="false">IF(C4=0,0,C8/C4)</f>
        <v>0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11b-Suivi-validation</oddHeader>
    <oddFooter>&amp;RPage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2"/>
  </cols>
  <sheetData>
    <row r="2" customFormat="false" ht="22.05" hidden="false" customHeight="false" outlineLevel="0" collapsed="false">
      <c r="B2" s="5" t="s">
        <v>45</v>
      </c>
    </row>
    <row r="4" customFormat="false" ht="21.75" hidden="false" customHeight="true" outlineLevel="0" collapsed="false">
      <c r="A4" s="6" t="s">
        <v>46</v>
      </c>
      <c r="B4" s="6" t="s">
        <v>47</v>
      </c>
      <c r="C4" s="6" t="s">
        <v>48</v>
      </c>
      <c r="D4" s="6" t="s">
        <v>49</v>
      </c>
    </row>
    <row r="5" customFormat="false" ht="19.5" hidden="false" customHeight="true" outlineLevel="0" collapsed="false">
      <c r="A5" s="15" t="s">
        <v>50</v>
      </c>
      <c r="B5" s="16" t="s">
        <v>51</v>
      </c>
      <c r="C5" s="16" t="s">
        <v>52</v>
      </c>
      <c r="D5" s="16" t="s">
        <v>53</v>
      </c>
    </row>
    <row r="6" customFormat="false" ht="19.5" hidden="false" customHeight="true" outlineLevel="0" collapsed="false">
      <c r="A6" s="9" t="s">
        <v>54</v>
      </c>
      <c r="B6" s="10" t="s">
        <v>55</v>
      </c>
      <c r="C6" s="10" t="s">
        <v>56</v>
      </c>
      <c r="D6" s="10" t="s">
        <v>57</v>
      </c>
    </row>
    <row r="7" customFormat="false" ht="19.5" hidden="false" customHeight="true" outlineLevel="0" collapsed="false">
      <c r="A7" s="15" t="s">
        <v>58</v>
      </c>
      <c r="B7" s="16" t="s">
        <v>59</v>
      </c>
      <c r="C7" s="16" t="s">
        <v>60</v>
      </c>
      <c r="D7" s="16" t="s">
        <v>61</v>
      </c>
    </row>
    <row r="8" customFormat="false" ht="19.5" hidden="false" customHeight="true" outlineLevel="0" collapsed="false">
      <c r="A8" s="9" t="s">
        <v>62</v>
      </c>
      <c r="B8" s="10" t="s">
        <v>63</v>
      </c>
      <c r="C8" s="10" t="s">
        <v>64</v>
      </c>
      <c r="D8" s="10" t="s">
        <v>65</v>
      </c>
    </row>
    <row r="9" customFormat="false" ht="19.5" hidden="false" customHeight="true" outlineLevel="0" collapsed="false">
      <c r="A9" s="15" t="s">
        <v>66</v>
      </c>
      <c r="B9" s="16" t="s">
        <v>67</v>
      </c>
      <c r="C9" s="16" t="s">
        <v>68</v>
      </c>
      <c r="D9" s="16" t="s">
        <v>69</v>
      </c>
    </row>
    <row r="10" customFormat="false" ht="19.5" hidden="false" customHeight="true" outlineLevel="0" collapsed="false">
      <c r="A10" s="9" t="s">
        <v>70</v>
      </c>
      <c r="B10" s="10" t="s">
        <v>71</v>
      </c>
      <c r="C10" s="10" t="s">
        <v>72</v>
      </c>
      <c r="D10" s="10" t="s">
        <v>73</v>
      </c>
    </row>
    <row r="11" customFormat="false" ht="19.5" hidden="false" customHeight="true" outlineLevel="0" collapsed="false">
      <c r="A11" s="15" t="s">
        <v>74</v>
      </c>
      <c r="B11" s="16" t="s">
        <v>75</v>
      </c>
      <c r="C11" s="16" t="s">
        <v>76</v>
      </c>
      <c r="D11" s="16" t="s">
        <v>77</v>
      </c>
    </row>
    <row r="12" customFormat="false" ht="19.5" hidden="false" customHeight="true" outlineLevel="0" collapsed="false">
      <c r="A12" s="9" t="s">
        <v>78</v>
      </c>
      <c r="B12" s="10" t="s">
        <v>79</v>
      </c>
      <c r="C12" s="10" t="s">
        <v>80</v>
      </c>
      <c r="D12" s="10" t="s">
        <v>81</v>
      </c>
    </row>
    <row r="13" customFormat="false" ht="19.5" hidden="false" customHeight="true" outlineLevel="0" collapsed="false">
      <c r="A13" s="15" t="s">
        <v>82</v>
      </c>
      <c r="B13" s="16" t="s">
        <v>83</v>
      </c>
      <c r="C13" s="16" t="s">
        <v>84</v>
      </c>
      <c r="D13" s="16" t="s">
        <v>85</v>
      </c>
    </row>
    <row r="14" customFormat="false" ht="19.5" hidden="false" customHeight="true" outlineLevel="0" collapsed="false">
      <c r="A14" s="9" t="s">
        <v>86</v>
      </c>
      <c r="B14" s="10" t="s">
        <v>87</v>
      </c>
      <c r="C14" s="10" t="s">
        <v>88</v>
      </c>
      <c r="D14" s="10" t="s">
        <v>89</v>
      </c>
    </row>
    <row r="15" customFormat="false" ht="19.5" hidden="false" customHeight="true" outlineLevel="0" collapsed="false">
      <c r="A15" s="15" t="s">
        <v>90</v>
      </c>
      <c r="B15" s="16" t="s">
        <v>91</v>
      </c>
      <c r="C15" s="16" t="s">
        <v>92</v>
      </c>
      <c r="D15" s="16" t="s">
        <v>89</v>
      </c>
    </row>
    <row r="16" customFormat="false" ht="19.5" hidden="false" customHeight="true" outlineLevel="0" collapsed="false">
      <c r="A16" s="9" t="s">
        <v>93</v>
      </c>
      <c r="B16" s="10" t="s">
        <v>94</v>
      </c>
      <c r="C16" s="10" t="s">
        <v>95</v>
      </c>
      <c r="D16" s="10" t="s">
        <v>96</v>
      </c>
    </row>
    <row r="17" customFormat="false" ht="19.5" hidden="false" customHeight="true" outlineLevel="0" collapsed="false">
      <c r="A17" s="15" t="s">
        <v>97</v>
      </c>
      <c r="B17" s="16" t="s">
        <v>98</v>
      </c>
      <c r="C17" s="16" t="s">
        <v>99</v>
      </c>
      <c r="D17" s="16" t="s">
        <v>100</v>
      </c>
    </row>
    <row r="18" customFormat="false" ht="19.5" hidden="false" customHeight="true" outlineLevel="0" collapsed="false">
      <c r="A18" s="9" t="s">
        <v>101</v>
      </c>
      <c r="B18" s="10" t="s">
        <v>102</v>
      </c>
      <c r="C18" s="10" t="s">
        <v>103</v>
      </c>
      <c r="D18" s="10" t="s">
        <v>104</v>
      </c>
    </row>
    <row r="19" customFormat="false" ht="19.5" hidden="false" customHeight="true" outlineLevel="0" collapsed="false">
      <c r="A19" s="15" t="s">
        <v>105</v>
      </c>
      <c r="B19" s="16" t="s">
        <v>106</v>
      </c>
      <c r="C19" s="16" t="s">
        <v>107</v>
      </c>
      <c r="D19" s="16" t="s">
        <v>108</v>
      </c>
    </row>
    <row r="20" customFormat="false" ht="19.5" hidden="false" customHeight="true" outlineLevel="0" collapsed="false">
      <c r="A20" s="9" t="s">
        <v>109</v>
      </c>
      <c r="B20" s="10" t="s">
        <v>110</v>
      </c>
      <c r="C20" s="10" t="s">
        <v>111</v>
      </c>
      <c r="D20" s="10" t="s">
        <v>112</v>
      </c>
    </row>
    <row r="21" customFormat="false" ht="19.5" hidden="false" customHeight="true" outlineLevel="0" collapsed="false">
      <c r="A21" s="15" t="s">
        <v>113</v>
      </c>
      <c r="B21" s="16" t="s">
        <v>114</v>
      </c>
      <c r="C21" s="16" t="s">
        <v>115</v>
      </c>
      <c r="D21" s="16" t="s">
        <v>116</v>
      </c>
    </row>
    <row r="22" customFormat="false" ht="19.5" hidden="false" customHeight="true" outlineLevel="0" collapsed="false">
      <c r="A22" s="9" t="s">
        <v>117</v>
      </c>
      <c r="B22" s="10" t="s">
        <v>118</v>
      </c>
      <c r="C22" s="10" t="s">
        <v>119</v>
      </c>
      <c r="D22" s="10" t="s">
        <v>120</v>
      </c>
    </row>
    <row r="23" customFormat="false" ht="19.5" hidden="false" customHeight="true" outlineLevel="0" collapsed="false">
      <c r="A23" s="15" t="s">
        <v>121</v>
      </c>
      <c r="B23" s="16" t="s">
        <v>122</v>
      </c>
      <c r="C23" s="16" t="s">
        <v>123</v>
      </c>
      <c r="D23" s="16" t="s">
        <v>124</v>
      </c>
    </row>
    <row r="24" customFormat="false" ht="19.5" hidden="false" customHeight="true" outlineLevel="0" collapsed="false">
      <c r="A24" s="9" t="s">
        <v>125</v>
      </c>
      <c r="B24" s="10" t="s">
        <v>126</v>
      </c>
      <c r="C24" s="10" t="s">
        <v>127</v>
      </c>
      <c r="D24" s="10" t="s">
        <v>128</v>
      </c>
    </row>
    <row r="25" customFormat="false" ht="19.5" hidden="false" customHeight="true" outlineLevel="0" collapsed="false">
      <c r="A25" s="15" t="s">
        <v>129</v>
      </c>
      <c r="B25" s="16" t="s">
        <v>130</v>
      </c>
      <c r="C25" s="16" t="s">
        <v>131</v>
      </c>
      <c r="D25" s="16" t="s">
        <v>132</v>
      </c>
    </row>
    <row r="26" customFormat="false" ht="19.5" hidden="false" customHeight="true" outlineLevel="0" collapsed="false">
      <c r="A26" s="9" t="s">
        <v>133</v>
      </c>
      <c r="B26" s="10" t="s">
        <v>134</v>
      </c>
      <c r="C26" s="10" t="s">
        <v>135</v>
      </c>
      <c r="D26" s="10" t="s">
        <v>136</v>
      </c>
    </row>
    <row r="27" customFormat="false" ht="19.5" hidden="false" customHeight="true" outlineLevel="0" collapsed="false">
      <c r="A27" s="15" t="s">
        <v>137</v>
      </c>
      <c r="B27" s="16" t="s">
        <v>138</v>
      </c>
      <c r="C27" s="16" t="s">
        <v>139</v>
      </c>
      <c r="D27" s="16" t="s">
        <v>140</v>
      </c>
    </row>
    <row r="28" customFormat="false" ht="19.5" hidden="false" customHeight="true" outlineLevel="0" collapsed="false">
      <c r="A28" s="9" t="s">
        <v>141</v>
      </c>
      <c r="B28" s="10" t="s">
        <v>142</v>
      </c>
      <c r="C28" s="10" t="s">
        <v>143</v>
      </c>
      <c r="D28" s="10" t="s">
        <v>144</v>
      </c>
    </row>
    <row r="29" customFormat="false" ht="19.5" hidden="false" customHeight="true" outlineLevel="0" collapsed="false">
      <c r="A29" s="15" t="s">
        <v>145</v>
      </c>
      <c r="B29" s="16" t="s">
        <v>146</v>
      </c>
      <c r="C29" s="16" t="s">
        <v>147</v>
      </c>
      <c r="D29" s="16" t="s">
        <v>148</v>
      </c>
    </row>
    <row r="30" customFormat="false" ht="19.5" hidden="false" customHeight="true" outlineLevel="0" collapsed="false">
      <c r="A30" s="9" t="s">
        <v>149</v>
      </c>
      <c r="B30" s="10" t="s">
        <v>150</v>
      </c>
      <c r="C30" s="10" t="s">
        <v>151</v>
      </c>
      <c r="D30" s="10" t="s">
        <v>152</v>
      </c>
    </row>
    <row r="31" customFormat="false" ht="19.5" hidden="false" customHeight="true" outlineLevel="0" collapsed="false">
      <c r="A31" s="15" t="s">
        <v>153</v>
      </c>
      <c r="B31" s="16" t="s">
        <v>154</v>
      </c>
      <c r="C31" s="16" t="s">
        <v>155</v>
      </c>
      <c r="D31" s="16" t="s">
        <v>156</v>
      </c>
    </row>
    <row r="32" customFormat="false" ht="19.5" hidden="false" customHeight="true" outlineLevel="0" collapsed="false">
      <c r="A32" s="9" t="s">
        <v>157</v>
      </c>
      <c r="B32" s="10" t="s">
        <v>158</v>
      </c>
      <c r="C32" s="10" t="s">
        <v>159</v>
      </c>
      <c r="D32" s="10" t="s">
        <v>160</v>
      </c>
    </row>
    <row r="33" customFormat="false" ht="19.5" hidden="false" customHeight="true" outlineLevel="0" collapsed="false">
      <c r="A33" s="15" t="s">
        <v>161</v>
      </c>
      <c r="B33" s="16" t="s">
        <v>162</v>
      </c>
      <c r="C33" s="16" t="s">
        <v>163</v>
      </c>
      <c r="D33" s="16" t="s">
        <v>164</v>
      </c>
    </row>
    <row r="34" customFormat="false" ht="19.5" hidden="false" customHeight="true" outlineLevel="0" collapsed="false">
      <c r="A34" s="9" t="s">
        <v>165</v>
      </c>
      <c r="B34" s="10" t="s">
        <v>166</v>
      </c>
      <c r="C34" s="10" t="s">
        <v>167</v>
      </c>
      <c r="D34" s="10" t="s">
        <v>168</v>
      </c>
    </row>
    <row r="35" customFormat="false" ht="19.5" hidden="false" customHeight="true" outlineLevel="0" collapsed="false">
      <c r="A35" s="15" t="s">
        <v>169</v>
      </c>
      <c r="B35" s="16" t="s">
        <v>170</v>
      </c>
      <c r="C35" s="16" t="s">
        <v>171</v>
      </c>
      <c r="D35" s="16" t="s">
        <v>172</v>
      </c>
    </row>
    <row r="36" customFormat="false" ht="19.5" hidden="false" customHeight="true" outlineLevel="0" collapsed="false">
      <c r="A36" s="9" t="s">
        <v>173</v>
      </c>
      <c r="B36" s="10" t="s">
        <v>174</v>
      </c>
      <c r="C36" s="10" t="s">
        <v>175</v>
      </c>
      <c r="D36" s="10" t="s">
        <v>176</v>
      </c>
    </row>
    <row r="37" customFormat="false" ht="19.5" hidden="false" customHeight="true" outlineLevel="0" collapsed="false">
      <c r="A37" s="15" t="s">
        <v>177</v>
      </c>
      <c r="B37" s="16" t="s">
        <v>178</v>
      </c>
      <c r="C37" s="16" t="s">
        <v>179</v>
      </c>
      <c r="D37" s="16" t="s">
        <v>180</v>
      </c>
    </row>
    <row r="38" customFormat="false" ht="19.5" hidden="false" customHeight="true" outlineLevel="0" collapsed="false">
      <c r="A38" s="9" t="s">
        <v>181</v>
      </c>
      <c r="B38" s="10" t="s">
        <v>182</v>
      </c>
      <c r="C38" s="10" t="s">
        <v>183</v>
      </c>
      <c r="D38" s="10" t="s">
        <v>184</v>
      </c>
    </row>
    <row r="39" customFormat="false" ht="19.5" hidden="false" customHeight="true" outlineLevel="0" collapsed="false">
      <c r="A39" s="15" t="s">
        <v>185</v>
      </c>
      <c r="B39" s="16" t="s">
        <v>186</v>
      </c>
      <c r="C39" s="16" t="s">
        <v>187</v>
      </c>
      <c r="D39" s="16" t="s">
        <v>188</v>
      </c>
    </row>
    <row r="40" customFormat="false" ht="19.5" hidden="false" customHeight="true" outlineLevel="0" collapsed="false">
      <c r="A40" s="9" t="s">
        <v>189</v>
      </c>
      <c r="B40" s="10" t="s">
        <v>190</v>
      </c>
      <c r="C40" s="10" t="s">
        <v>191</v>
      </c>
      <c r="D40" s="10" t="s">
        <v>192</v>
      </c>
    </row>
    <row r="41" customFormat="false" ht="19.5" hidden="false" customHeight="true" outlineLevel="0" collapsed="false">
      <c r="A41" s="15" t="s">
        <v>193</v>
      </c>
      <c r="B41" s="16" t="s">
        <v>194</v>
      </c>
      <c r="C41" s="16" t="s">
        <v>195</v>
      </c>
      <c r="D41" s="16" t="s">
        <v>196</v>
      </c>
    </row>
    <row r="42" customFormat="false" ht="19.5" hidden="false" customHeight="true" outlineLevel="0" collapsed="false">
      <c r="A42" s="9" t="s">
        <v>197</v>
      </c>
      <c r="B42" s="10" t="s">
        <v>198</v>
      </c>
      <c r="C42" s="10" t="s">
        <v>199</v>
      </c>
      <c r="D42" s="10" t="s">
        <v>200</v>
      </c>
    </row>
  </sheetData>
  <autoFilter ref="A1:D42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12-Sprint-0</oddHeader>
    <oddFooter>&amp;RPage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7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6" t="s">
        <v>47</v>
      </c>
      <c r="B1" s="6" t="s">
        <v>201</v>
      </c>
      <c r="C1" s="6" t="s">
        <v>48</v>
      </c>
      <c r="D1" s="6" t="s">
        <v>202</v>
      </c>
      <c r="E1" s="6" t="s">
        <v>203</v>
      </c>
      <c r="F1" s="6" t="s">
        <v>204</v>
      </c>
      <c r="G1" s="6" t="s">
        <v>205</v>
      </c>
      <c r="H1" s="6" t="s">
        <v>206</v>
      </c>
      <c r="I1" s="6" t="s">
        <v>207</v>
      </c>
    </row>
    <row r="2" customFormat="false" ht="51.75" hidden="false" customHeight="true" outlineLevel="0" collapsed="false">
      <c r="A2" s="15" t="s">
        <v>55</v>
      </c>
      <c r="B2" s="16" t="s">
        <v>208</v>
      </c>
      <c r="C2" s="16" t="s">
        <v>209</v>
      </c>
      <c r="D2" s="16" t="s">
        <v>210</v>
      </c>
      <c r="E2" s="16" t="s">
        <v>36</v>
      </c>
      <c r="F2" s="16" t="s">
        <v>211</v>
      </c>
      <c r="G2" s="16" t="s">
        <v>212</v>
      </c>
      <c r="H2" s="16" t="s">
        <v>213</v>
      </c>
      <c r="I2" s="16" t="s">
        <v>40</v>
      </c>
    </row>
    <row r="3" customFormat="false" ht="51.75" hidden="false" customHeight="true" outlineLevel="0" collapsed="false">
      <c r="A3" s="15" t="s">
        <v>59</v>
      </c>
      <c r="B3" s="16" t="s">
        <v>208</v>
      </c>
      <c r="C3" s="16" t="s">
        <v>214</v>
      </c>
      <c r="D3" s="16" t="s">
        <v>215</v>
      </c>
      <c r="E3" s="16" t="s">
        <v>36</v>
      </c>
      <c r="F3" s="16" t="s">
        <v>211</v>
      </c>
      <c r="G3" s="16" t="s">
        <v>55</v>
      </c>
      <c r="H3" s="16" t="s">
        <v>216</v>
      </c>
      <c r="I3" s="16" t="s">
        <v>40</v>
      </c>
    </row>
    <row r="4" customFormat="false" ht="51.75" hidden="false" customHeight="true" outlineLevel="0" collapsed="false">
      <c r="A4" s="15" t="s">
        <v>146</v>
      </c>
      <c r="B4" s="16" t="s">
        <v>208</v>
      </c>
      <c r="C4" s="16" t="s">
        <v>217</v>
      </c>
      <c r="D4" s="16" t="s">
        <v>218</v>
      </c>
      <c r="E4" s="16" t="s">
        <v>36</v>
      </c>
      <c r="F4" s="16" t="s">
        <v>219</v>
      </c>
      <c r="G4" s="16" t="s">
        <v>220</v>
      </c>
      <c r="H4" s="16" t="s">
        <v>221</v>
      </c>
      <c r="I4" s="16" t="s">
        <v>40</v>
      </c>
    </row>
    <row r="5" customFormat="false" ht="51.75" hidden="false" customHeight="true" outlineLevel="0" collapsed="false">
      <c r="A5" s="17" t="s">
        <v>222</v>
      </c>
      <c r="B5" s="18" t="s">
        <v>208</v>
      </c>
      <c r="C5" s="18" t="s">
        <v>223</v>
      </c>
      <c r="D5" s="18" t="s">
        <v>224</v>
      </c>
      <c r="E5" s="18" t="s">
        <v>38</v>
      </c>
      <c r="F5" s="18" t="s">
        <v>225</v>
      </c>
      <c r="G5" s="18" t="s">
        <v>59</v>
      </c>
      <c r="H5" s="18" t="s">
        <v>226</v>
      </c>
      <c r="I5" s="18" t="s">
        <v>40</v>
      </c>
    </row>
    <row r="6" customFormat="false" ht="51.75" hidden="false" customHeight="true" outlineLevel="0" collapsed="false">
      <c r="A6" s="15" t="s">
        <v>51</v>
      </c>
      <c r="B6" s="16" t="s">
        <v>208</v>
      </c>
      <c r="C6" s="16" t="s">
        <v>227</v>
      </c>
      <c r="D6" s="16" t="s">
        <v>228</v>
      </c>
      <c r="E6" s="16" t="s">
        <v>36</v>
      </c>
      <c r="F6" s="16" t="s">
        <v>211</v>
      </c>
      <c r="G6" s="16" t="s">
        <v>229</v>
      </c>
      <c r="H6" s="16" t="s">
        <v>230</v>
      </c>
      <c r="I6" s="16" t="s">
        <v>40</v>
      </c>
    </row>
    <row r="7" customFormat="false" ht="51.75" hidden="false" customHeight="true" outlineLevel="0" collapsed="false">
      <c r="A7" s="15" t="s">
        <v>63</v>
      </c>
      <c r="B7" s="16" t="s">
        <v>231</v>
      </c>
      <c r="C7" s="16" t="s">
        <v>232</v>
      </c>
      <c r="D7" s="16" t="s">
        <v>233</v>
      </c>
      <c r="E7" s="16" t="s">
        <v>36</v>
      </c>
      <c r="F7" s="16" t="s">
        <v>211</v>
      </c>
      <c r="G7" s="16" t="s">
        <v>59</v>
      </c>
      <c r="H7" s="16" t="s">
        <v>234</v>
      </c>
      <c r="I7" s="16" t="s">
        <v>40</v>
      </c>
    </row>
    <row r="8" customFormat="false" ht="51.75" hidden="false" customHeight="true" outlineLevel="0" collapsed="false">
      <c r="A8" s="15" t="s">
        <v>67</v>
      </c>
      <c r="B8" s="16" t="s">
        <v>231</v>
      </c>
      <c r="C8" s="16" t="s">
        <v>235</v>
      </c>
      <c r="D8" s="16" t="s">
        <v>236</v>
      </c>
      <c r="E8" s="16" t="s">
        <v>36</v>
      </c>
      <c r="F8" s="16" t="s">
        <v>211</v>
      </c>
      <c r="G8" s="16" t="s">
        <v>59</v>
      </c>
      <c r="H8" s="16" t="s">
        <v>237</v>
      </c>
      <c r="I8" s="16" t="s">
        <v>40</v>
      </c>
    </row>
    <row r="9" customFormat="false" ht="51.75" hidden="false" customHeight="true" outlineLevel="0" collapsed="false">
      <c r="A9" s="19" t="s">
        <v>238</v>
      </c>
      <c r="B9" s="20" t="s">
        <v>231</v>
      </c>
      <c r="C9" s="20" t="s">
        <v>239</v>
      </c>
      <c r="D9" s="20" t="s">
        <v>240</v>
      </c>
      <c r="E9" s="20" t="s">
        <v>37</v>
      </c>
      <c r="F9" s="20" t="s">
        <v>241</v>
      </c>
      <c r="G9" s="20" t="s">
        <v>59</v>
      </c>
      <c r="H9" s="20" t="s">
        <v>242</v>
      </c>
      <c r="I9" s="20" t="s">
        <v>40</v>
      </c>
    </row>
    <row r="10" customFormat="false" ht="51.75" hidden="false" customHeight="true" outlineLevel="0" collapsed="false">
      <c r="A10" s="19" t="s">
        <v>243</v>
      </c>
      <c r="B10" s="20" t="s">
        <v>231</v>
      </c>
      <c r="C10" s="20" t="s">
        <v>244</v>
      </c>
      <c r="D10" s="20" t="s">
        <v>245</v>
      </c>
      <c r="E10" s="20" t="s">
        <v>37</v>
      </c>
      <c r="F10" s="20" t="s">
        <v>241</v>
      </c>
      <c r="G10" s="20" t="s">
        <v>59</v>
      </c>
      <c r="H10" s="20" t="s">
        <v>246</v>
      </c>
      <c r="I10" s="20" t="s">
        <v>40</v>
      </c>
    </row>
    <row r="11" customFormat="false" ht="51.75" hidden="false" customHeight="true" outlineLevel="0" collapsed="false">
      <c r="A11" s="15" t="s">
        <v>247</v>
      </c>
      <c r="B11" s="16" t="s">
        <v>231</v>
      </c>
      <c r="C11" s="16" t="s">
        <v>248</v>
      </c>
      <c r="D11" s="16" t="s">
        <v>249</v>
      </c>
      <c r="E11" s="16" t="s">
        <v>36</v>
      </c>
      <c r="F11" s="16" t="s">
        <v>241</v>
      </c>
      <c r="G11" s="16" t="s">
        <v>250</v>
      </c>
      <c r="H11" s="16" t="s">
        <v>251</v>
      </c>
      <c r="I11" s="16" t="s">
        <v>40</v>
      </c>
    </row>
    <row r="12" customFormat="false" ht="51.75" hidden="false" customHeight="true" outlineLevel="0" collapsed="false">
      <c r="A12" s="15" t="s">
        <v>71</v>
      </c>
      <c r="B12" s="16" t="s">
        <v>252</v>
      </c>
      <c r="C12" s="16" t="s">
        <v>253</v>
      </c>
      <c r="D12" s="16" t="s">
        <v>254</v>
      </c>
      <c r="E12" s="16" t="s">
        <v>36</v>
      </c>
      <c r="F12" s="16" t="s">
        <v>211</v>
      </c>
      <c r="G12" s="16" t="s">
        <v>255</v>
      </c>
      <c r="H12" s="16" t="s">
        <v>256</v>
      </c>
      <c r="I12" s="16" t="s">
        <v>40</v>
      </c>
    </row>
    <row r="13" customFormat="false" ht="51.75" hidden="false" customHeight="true" outlineLevel="0" collapsed="false">
      <c r="A13" s="15" t="s">
        <v>166</v>
      </c>
      <c r="B13" s="16" t="s">
        <v>252</v>
      </c>
      <c r="C13" s="16" t="s">
        <v>257</v>
      </c>
      <c r="D13" s="16" t="s">
        <v>258</v>
      </c>
      <c r="E13" s="16" t="s">
        <v>36</v>
      </c>
      <c r="F13" s="16" t="s">
        <v>219</v>
      </c>
      <c r="G13" s="16" t="s">
        <v>259</v>
      </c>
      <c r="H13" s="16" t="s">
        <v>260</v>
      </c>
      <c r="I13" s="16" t="s">
        <v>40</v>
      </c>
    </row>
    <row r="14" customFormat="false" ht="51.75" hidden="false" customHeight="true" outlineLevel="0" collapsed="false">
      <c r="A14" s="15" t="s">
        <v>170</v>
      </c>
      <c r="B14" s="16" t="s">
        <v>252</v>
      </c>
      <c r="C14" s="16" t="s">
        <v>261</v>
      </c>
      <c r="D14" s="16" t="s">
        <v>262</v>
      </c>
      <c r="E14" s="16" t="s">
        <v>36</v>
      </c>
      <c r="F14" s="16" t="s">
        <v>219</v>
      </c>
      <c r="G14" s="16" t="s">
        <v>263</v>
      </c>
      <c r="H14" s="16" t="s">
        <v>264</v>
      </c>
      <c r="I14" s="16" t="s">
        <v>40</v>
      </c>
    </row>
    <row r="15" customFormat="false" ht="51.75" hidden="false" customHeight="true" outlineLevel="0" collapsed="false">
      <c r="A15" s="19" t="s">
        <v>265</v>
      </c>
      <c r="B15" s="20" t="s">
        <v>252</v>
      </c>
      <c r="C15" s="20" t="s">
        <v>266</v>
      </c>
      <c r="D15" s="20" t="s">
        <v>267</v>
      </c>
      <c r="E15" s="20" t="s">
        <v>37</v>
      </c>
      <c r="F15" s="20" t="s">
        <v>219</v>
      </c>
      <c r="G15" s="20" t="s">
        <v>268</v>
      </c>
      <c r="H15" s="20" t="s">
        <v>269</v>
      </c>
      <c r="I15" s="20" t="s">
        <v>40</v>
      </c>
    </row>
    <row r="16" customFormat="false" ht="51.75" hidden="false" customHeight="true" outlineLevel="0" collapsed="false">
      <c r="A16" s="15" t="s">
        <v>174</v>
      </c>
      <c r="B16" s="16" t="s">
        <v>252</v>
      </c>
      <c r="C16" s="16" t="s">
        <v>175</v>
      </c>
      <c r="D16" s="16" t="s">
        <v>270</v>
      </c>
      <c r="E16" s="16" t="s">
        <v>36</v>
      </c>
      <c r="F16" s="16" t="s">
        <v>219</v>
      </c>
      <c r="G16" s="16" t="s">
        <v>166</v>
      </c>
      <c r="H16" s="16" t="s">
        <v>271</v>
      </c>
      <c r="I16" s="16" t="s">
        <v>40</v>
      </c>
    </row>
    <row r="17" customFormat="false" ht="51.75" hidden="false" customHeight="true" outlineLevel="0" collapsed="false">
      <c r="A17" s="19" t="s">
        <v>272</v>
      </c>
      <c r="B17" s="20" t="s">
        <v>252</v>
      </c>
      <c r="C17" s="20" t="s">
        <v>273</v>
      </c>
      <c r="D17" s="20" t="s">
        <v>274</v>
      </c>
      <c r="E17" s="20" t="s">
        <v>37</v>
      </c>
      <c r="F17" s="20" t="s">
        <v>275</v>
      </c>
      <c r="G17" s="20" t="s">
        <v>276</v>
      </c>
      <c r="H17" s="20" t="s">
        <v>277</v>
      </c>
      <c r="I17" s="20" t="s">
        <v>40</v>
      </c>
    </row>
    <row r="18" customFormat="false" ht="51.75" hidden="false" customHeight="true" outlineLevel="0" collapsed="false">
      <c r="A18" s="19" t="s">
        <v>278</v>
      </c>
      <c r="B18" s="20" t="s">
        <v>279</v>
      </c>
      <c r="C18" s="20" t="s">
        <v>280</v>
      </c>
      <c r="D18" s="20" t="s">
        <v>281</v>
      </c>
      <c r="E18" s="20" t="s">
        <v>37</v>
      </c>
      <c r="F18" s="20" t="s">
        <v>275</v>
      </c>
      <c r="G18" s="20" t="s">
        <v>71</v>
      </c>
      <c r="H18" s="20" t="s">
        <v>282</v>
      </c>
      <c r="I18" s="20" t="s">
        <v>40</v>
      </c>
    </row>
    <row r="19" customFormat="false" ht="51.75" hidden="false" customHeight="true" outlineLevel="0" collapsed="false">
      <c r="A19" s="19" t="s">
        <v>283</v>
      </c>
      <c r="B19" s="20" t="s">
        <v>279</v>
      </c>
      <c r="C19" s="20" t="s">
        <v>284</v>
      </c>
      <c r="D19" s="20" t="s">
        <v>285</v>
      </c>
      <c r="E19" s="20" t="s">
        <v>37</v>
      </c>
      <c r="F19" s="20" t="s">
        <v>275</v>
      </c>
      <c r="G19" s="20" t="s">
        <v>278</v>
      </c>
      <c r="H19" s="20" t="s">
        <v>286</v>
      </c>
      <c r="I19" s="20" t="s">
        <v>40</v>
      </c>
    </row>
    <row r="20" customFormat="false" ht="51.75" hidden="false" customHeight="true" outlineLevel="0" collapsed="false">
      <c r="A20" s="19" t="s">
        <v>287</v>
      </c>
      <c r="B20" s="20" t="s">
        <v>279</v>
      </c>
      <c r="C20" s="20" t="s">
        <v>288</v>
      </c>
      <c r="D20" s="20" t="s">
        <v>289</v>
      </c>
      <c r="E20" s="20" t="s">
        <v>37</v>
      </c>
      <c r="F20" s="20" t="s">
        <v>275</v>
      </c>
      <c r="G20" s="20" t="s">
        <v>290</v>
      </c>
      <c r="H20" s="20" t="s">
        <v>291</v>
      </c>
      <c r="I20" s="20" t="s">
        <v>40</v>
      </c>
    </row>
    <row r="21" customFormat="false" ht="51.75" hidden="false" customHeight="true" outlineLevel="0" collapsed="false">
      <c r="A21" s="17" t="s">
        <v>292</v>
      </c>
      <c r="B21" s="18" t="s">
        <v>279</v>
      </c>
      <c r="C21" s="18" t="s">
        <v>293</v>
      </c>
      <c r="D21" s="18" t="s">
        <v>294</v>
      </c>
      <c r="E21" s="18" t="s">
        <v>38</v>
      </c>
      <c r="F21" s="18" t="s">
        <v>275</v>
      </c>
      <c r="G21" s="18" t="s">
        <v>278</v>
      </c>
      <c r="H21" s="18" t="s">
        <v>295</v>
      </c>
      <c r="I21" s="18" t="s">
        <v>40</v>
      </c>
    </row>
    <row r="22" customFormat="false" ht="51.75" hidden="false" customHeight="true" outlineLevel="0" collapsed="false">
      <c r="A22" s="19" t="s">
        <v>296</v>
      </c>
      <c r="B22" s="20" t="s">
        <v>279</v>
      </c>
      <c r="C22" s="20" t="s">
        <v>297</v>
      </c>
      <c r="D22" s="20" t="s">
        <v>298</v>
      </c>
      <c r="E22" s="20" t="s">
        <v>37</v>
      </c>
      <c r="F22" s="20" t="s">
        <v>275</v>
      </c>
      <c r="G22" s="20" t="s">
        <v>299</v>
      </c>
      <c r="H22" s="20" t="s">
        <v>300</v>
      </c>
      <c r="I22" s="20" t="s">
        <v>40</v>
      </c>
    </row>
    <row r="23" customFormat="false" ht="51.75" hidden="false" customHeight="true" outlineLevel="0" collapsed="false">
      <c r="A23" s="15" t="s">
        <v>178</v>
      </c>
      <c r="B23" s="16" t="s">
        <v>301</v>
      </c>
      <c r="C23" s="16" t="s">
        <v>302</v>
      </c>
      <c r="D23" s="16" t="s">
        <v>303</v>
      </c>
      <c r="E23" s="16" t="s">
        <v>36</v>
      </c>
      <c r="F23" s="16" t="s">
        <v>219</v>
      </c>
      <c r="G23" s="16" t="s">
        <v>304</v>
      </c>
      <c r="H23" s="16" t="s">
        <v>305</v>
      </c>
      <c r="I23" s="16" t="s">
        <v>40</v>
      </c>
    </row>
    <row r="24" customFormat="false" ht="51.75" hidden="false" customHeight="true" outlineLevel="0" collapsed="false">
      <c r="A24" s="15" t="s">
        <v>186</v>
      </c>
      <c r="B24" s="16" t="s">
        <v>301</v>
      </c>
      <c r="C24" s="16" t="s">
        <v>187</v>
      </c>
      <c r="D24" s="16" t="s">
        <v>306</v>
      </c>
      <c r="E24" s="16" t="s">
        <v>36</v>
      </c>
      <c r="F24" s="16" t="s">
        <v>219</v>
      </c>
      <c r="G24" s="16" t="s">
        <v>178</v>
      </c>
      <c r="H24" s="16" t="s">
        <v>307</v>
      </c>
      <c r="I24" s="16" t="s">
        <v>40</v>
      </c>
    </row>
    <row r="25" customFormat="false" ht="51.75" hidden="false" customHeight="true" outlineLevel="0" collapsed="false">
      <c r="A25" s="19" t="s">
        <v>308</v>
      </c>
      <c r="B25" s="20" t="s">
        <v>301</v>
      </c>
      <c r="C25" s="20" t="s">
        <v>309</v>
      </c>
      <c r="D25" s="20" t="s">
        <v>310</v>
      </c>
      <c r="E25" s="20" t="s">
        <v>37</v>
      </c>
      <c r="F25" s="20" t="s">
        <v>219</v>
      </c>
      <c r="G25" s="20" t="s">
        <v>178</v>
      </c>
      <c r="H25" s="20" t="s">
        <v>311</v>
      </c>
      <c r="I25" s="20" t="s">
        <v>40</v>
      </c>
    </row>
    <row r="26" customFormat="false" ht="51.75" hidden="false" customHeight="true" outlineLevel="0" collapsed="false">
      <c r="A26" s="15" t="s">
        <v>190</v>
      </c>
      <c r="B26" s="16" t="s">
        <v>301</v>
      </c>
      <c r="C26" s="16" t="s">
        <v>312</v>
      </c>
      <c r="D26" s="16" t="s">
        <v>313</v>
      </c>
      <c r="E26" s="16" t="s">
        <v>36</v>
      </c>
      <c r="F26" s="16" t="s">
        <v>219</v>
      </c>
      <c r="G26" s="16" t="s">
        <v>314</v>
      </c>
      <c r="H26" s="16" t="s">
        <v>315</v>
      </c>
      <c r="I26" s="16" t="s">
        <v>40</v>
      </c>
    </row>
    <row r="27" customFormat="false" ht="51.75" hidden="false" customHeight="true" outlineLevel="0" collapsed="false">
      <c r="A27" s="15" t="s">
        <v>126</v>
      </c>
      <c r="B27" s="16" t="s">
        <v>127</v>
      </c>
      <c r="C27" s="16" t="s">
        <v>316</v>
      </c>
      <c r="D27" s="16" t="s">
        <v>317</v>
      </c>
      <c r="E27" s="16" t="s">
        <v>36</v>
      </c>
      <c r="F27" s="16" t="s">
        <v>219</v>
      </c>
      <c r="G27" s="16" t="s">
        <v>212</v>
      </c>
      <c r="H27" s="16" t="s">
        <v>318</v>
      </c>
      <c r="I27" s="16" t="s">
        <v>40</v>
      </c>
    </row>
    <row r="28" customFormat="false" ht="51.75" hidden="false" customHeight="true" outlineLevel="0" collapsed="false">
      <c r="A28" s="19" t="s">
        <v>319</v>
      </c>
      <c r="B28" s="20" t="s">
        <v>127</v>
      </c>
      <c r="C28" s="20" t="s">
        <v>320</v>
      </c>
      <c r="D28" s="20" t="s">
        <v>321</v>
      </c>
      <c r="E28" s="20" t="s">
        <v>37</v>
      </c>
      <c r="F28" s="20" t="s">
        <v>219</v>
      </c>
      <c r="G28" s="20" t="s">
        <v>126</v>
      </c>
      <c r="H28" s="20" t="s">
        <v>322</v>
      </c>
      <c r="I28" s="20" t="s">
        <v>40</v>
      </c>
    </row>
    <row r="29" customFormat="false" ht="51.75" hidden="false" customHeight="true" outlineLevel="0" collapsed="false">
      <c r="A29" s="19" t="s">
        <v>323</v>
      </c>
      <c r="B29" s="20" t="s">
        <v>127</v>
      </c>
      <c r="C29" s="20" t="s">
        <v>324</v>
      </c>
      <c r="D29" s="20" t="s">
        <v>325</v>
      </c>
      <c r="E29" s="20" t="s">
        <v>37</v>
      </c>
      <c r="F29" s="20" t="s">
        <v>219</v>
      </c>
      <c r="G29" s="20" t="s">
        <v>126</v>
      </c>
      <c r="H29" s="20" t="s">
        <v>326</v>
      </c>
      <c r="I29" s="20" t="s">
        <v>40</v>
      </c>
    </row>
    <row r="30" customFormat="false" ht="51.75" hidden="false" customHeight="true" outlineLevel="0" collapsed="false">
      <c r="A30" s="15" t="s">
        <v>130</v>
      </c>
      <c r="B30" s="16" t="s">
        <v>127</v>
      </c>
      <c r="C30" s="16" t="s">
        <v>327</v>
      </c>
      <c r="D30" s="16" t="s">
        <v>328</v>
      </c>
      <c r="E30" s="16" t="s">
        <v>36</v>
      </c>
      <c r="F30" s="16" t="s">
        <v>219</v>
      </c>
      <c r="G30" s="16" t="s">
        <v>329</v>
      </c>
      <c r="H30" s="16" t="s">
        <v>330</v>
      </c>
      <c r="I30" s="16" t="s">
        <v>40</v>
      </c>
    </row>
    <row r="31" customFormat="false" ht="51.75" hidden="false" customHeight="true" outlineLevel="0" collapsed="false">
      <c r="A31" s="15" t="s">
        <v>134</v>
      </c>
      <c r="B31" s="16" t="s">
        <v>331</v>
      </c>
      <c r="C31" s="16" t="s">
        <v>135</v>
      </c>
      <c r="D31" s="16" t="s">
        <v>332</v>
      </c>
      <c r="E31" s="16" t="s">
        <v>36</v>
      </c>
      <c r="F31" s="16" t="s">
        <v>219</v>
      </c>
      <c r="G31" s="16" t="s">
        <v>126</v>
      </c>
      <c r="H31" s="16" t="s">
        <v>333</v>
      </c>
      <c r="I31" s="16" t="s">
        <v>40</v>
      </c>
    </row>
    <row r="32" customFormat="false" ht="51.75" hidden="false" customHeight="true" outlineLevel="0" collapsed="false">
      <c r="A32" s="15" t="s">
        <v>182</v>
      </c>
      <c r="B32" s="16" t="s">
        <v>331</v>
      </c>
      <c r="C32" s="16" t="s">
        <v>334</v>
      </c>
      <c r="D32" s="16" t="s">
        <v>335</v>
      </c>
      <c r="E32" s="16" t="s">
        <v>36</v>
      </c>
      <c r="F32" s="16" t="s">
        <v>219</v>
      </c>
      <c r="G32" s="16" t="s">
        <v>134</v>
      </c>
      <c r="H32" s="16" t="s">
        <v>336</v>
      </c>
      <c r="I32" s="16" t="s">
        <v>40</v>
      </c>
    </row>
    <row r="33" customFormat="false" ht="51.75" hidden="false" customHeight="true" outlineLevel="0" collapsed="false">
      <c r="A33" s="19" t="s">
        <v>337</v>
      </c>
      <c r="B33" s="20" t="s">
        <v>331</v>
      </c>
      <c r="C33" s="20" t="s">
        <v>338</v>
      </c>
      <c r="D33" s="20" t="s">
        <v>339</v>
      </c>
      <c r="E33" s="20" t="s">
        <v>37</v>
      </c>
      <c r="F33" s="20" t="s">
        <v>219</v>
      </c>
      <c r="G33" s="20" t="s">
        <v>340</v>
      </c>
      <c r="H33" s="20" t="s">
        <v>341</v>
      </c>
      <c r="I33" s="20" t="s">
        <v>40</v>
      </c>
    </row>
    <row r="34" customFormat="false" ht="51.75" hidden="false" customHeight="true" outlineLevel="0" collapsed="false">
      <c r="A34" s="15" t="s">
        <v>138</v>
      </c>
      <c r="B34" s="16" t="s">
        <v>342</v>
      </c>
      <c r="C34" s="16" t="s">
        <v>343</v>
      </c>
      <c r="D34" s="16" t="s">
        <v>344</v>
      </c>
      <c r="E34" s="16" t="s">
        <v>36</v>
      </c>
      <c r="F34" s="16" t="s">
        <v>219</v>
      </c>
      <c r="G34" s="16" t="s">
        <v>126</v>
      </c>
      <c r="H34" s="16" t="s">
        <v>345</v>
      </c>
      <c r="I34" s="16" t="s">
        <v>40</v>
      </c>
    </row>
    <row r="35" customFormat="false" ht="51.75" hidden="false" customHeight="true" outlineLevel="0" collapsed="false">
      <c r="A35" s="15" t="s">
        <v>142</v>
      </c>
      <c r="B35" s="16" t="s">
        <v>342</v>
      </c>
      <c r="C35" s="16" t="s">
        <v>346</v>
      </c>
      <c r="D35" s="16" t="s">
        <v>347</v>
      </c>
      <c r="E35" s="16" t="s">
        <v>36</v>
      </c>
      <c r="F35" s="16" t="s">
        <v>241</v>
      </c>
      <c r="G35" s="16" t="s">
        <v>138</v>
      </c>
      <c r="H35" s="16" t="s">
        <v>348</v>
      </c>
      <c r="I35" s="16" t="s">
        <v>40</v>
      </c>
    </row>
    <row r="36" customFormat="false" ht="51.75" hidden="false" customHeight="true" outlineLevel="0" collapsed="false">
      <c r="A36" s="15" t="s">
        <v>150</v>
      </c>
      <c r="B36" s="16" t="s">
        <v>349</v>
      </c>
      <c r="C36" s="16" t="s">
        <v>151</v>
      </c>
      <c r="D36" s="16" t="s">
        <v>350</v>
      </c>
      <c r="E36" s="16" t="s">
        <v>36</v>
      </c>
      <c r="F36" s="16" t="s">
        <v>219</v>
      </c>
      <c r="G36" s="16" t="s">
        <v>351</v>
      </c>
      <c r="H36" s="16" t="s">
        <v>352</v>
      </c>
      <c r="I36" s="16" t="s">
        <v>40</v>
      </c>
    </row>
    <row r="37" customFormat="false" ht="51.75" hidden="false" customHeight="true" outlineLevel="0" collapsed="false">
      <c r="A37" s="19" t="s">
        <v>353</v>
      </c>
      <c r="B37" s="20" t="s">
        <v>349</v>
      </c>
      <c r="C37" s="20" t="s">
        <v>354</v>
      </c>
      <c r="D37" s="20" t="s">
        <v>355</v>
      </c>
      <c r="E37" s="20" t="s">
        <v>37</v>
      </c>
      <c r="F37" s="20" t="s">
        <v>219</v>
      </c>
      <c r="G37" s="20" t="s">
        <v>150</v>
      </c>
      <c r="H37" s="20" t="s">
        <v>356</v>
      </c>
      <c r="I37" s="20" t="s">
        <v>40</v>
      </c>
    </row>
    <row r="38" customFormat="false" ht="51.75" hidden="false" customHeight="true" outlineLevel="0" collapsed="false">
      <c r="A38" s="19" t="s">
        <v>357</v>
      </c>
      <c r="B38" s="20" t="s">
        <v>349</v>
      </c>
      <c r="C38" s="20" t="s">
        <v>358</v>
      </c>
      <c r="D38" s="20" t="s">
        <v>359</v>
      </c>
      <c r="E38" s="20" t="s">
        <v>37</v>
      </c>
      <c r="F38" s="20" t="s">
        <v>219</v>
      </c>
      <c r="G38" s="20" t="s">
        <v>150</v>
      </c>
      <c r="H38" s="20" t="s">
        <v>360</v>
      </c>
      <c r="I38" s="20" t="s">
        <v>40</v>
      </c>
    </row>
    <row r="39" customFormat="false" ht="51.75" hidden="false" customHeight="true" outlineLevel="0" collapsed="false">
      <c r="A39" s="19" t="s">
        <v>361</v>
      </c>
      <c r="B39" s="20" t="s">
        <v>362</v>
      </c>
      <c r="C39" s="20" t="s">
        <v>363</v>
      </c>
      <c r="D39" s="20" t="s">
        <v>364</v>
      </c>
      <c r="E39" s="20" t="s">
        <v>37</v>
      </c>
      <c r="F39" s="20" t="s">
        <v>225</v>
      </c>
      <c r="G39" s="20" t="s">
        <v>150</v>
      </c>
      <c r="H39" s="20" t="s">
        <v>365</v>
      </c>
      <c r="I39" s="20" t="s">
        <v>40</v>
      </c>
    </row>
    <row r="40" customFormat="false" ht="51.75" hidden="false" customHeight="true" outlineLevel="0" collapsed="false">
      <c r="A40" s="15" t="s">
        <v>154</v>
      </c>
      <c r="B40" s="16" t="s">
        <v>362</v>
      </c>
      <c r="C40" s="16" t="s">
        <v>366</v>
      </c>
      <c r="D40" s="16" t="s">
        <v>367</v>
      </c>
      <c r="E40" s="16" t="s">
        <v>36</v>
      </c>
      <c r="F40" s="16" t="s">
        <v>219</v>
      </c>
      <c r="G40" s="16" t="s">
        <v>368</v>
      </c>
      <c r="H40" s="16" t="s">
        <v>369</v>
      </c>
      <c r="I40" s="16" t="s">
        <v>40</v>
      </c>
    </row>
    <row r="41" customFormat="false" ht="51.75" hidden="false" customHeight="true" outlineLevel="0" collapsed="false">
      <c r="A41" s="15" t="s">
        <v>158</v>
      </c>
      <c r="B41" s="16" t="s">
        <v>362</v>
      </c>
      <c r="C41" s="16" t="s">
        <v>370</v>
      </c>
      <c r="D41" s="16" t="s">
        <v>371</v>
      </c>
      <c r="E41" s="16" t="s">
        <v>36</v>
      </c>
      <c r="F41" s="16" t="s">
        <v>219</v>
      </c>
      <c r="G41" s="16" t="s">
        <v>154</v>
      </c>
      <c r="H41" s="16" t="s">
        <v>372</v>
      </c>
      <c r="I41" s="16" t="s">
        <v>40</v>
      </c>
    </row>
    <row r="42" customFormat="false" ht="51.75" hidden="false" customHeight="true" outlineLevel="0" collapsed="false">
      <c r="A42" s="19" t="s">
        <v>373</v>
      </c>
      <c r="B42" s="20" t="s">
        <v>362</v>
      </c>
      <c r="C42" s="20" t="s">
        <v>374</v>
      </c>
      <c r="D42" s="20" t="s">
        <v>375</v>
      </c>
      <c r="E42" s="20" t="s">
        <v>37</v>
      </c>
      <c r="F42" s="20" t="s">
        <v>225</v>
      </c>
      <c r="G42" s="20" t="s">
        <v>376</v>
      </c>
      <c r="H42" s="20" t="s">
        <v>377</v>
      </c>
      <c r="I42" s="20" t="s">
        <v>40</v>
      </c>
    </row>
    <row r="43" customFormat="false" ht="51.75" hidden="false" customHeight="true" outlineLevel="0" collapsed="false">
      <c r="A43" s="19" t="s">
        <v>378</v>
      </c>
      <c r="B43" s="20" t="s">
        <v>362</v>
      </c>
      <c r="C43" s="20" t="s">
        <v>379</v>
      </c>
      <c r="D43" s="20" t="s">
        <v>380</v>
      </c>
      <c r="E43" s="20" t="s">
        <v>37</v>
      </c>
      <c r="F43" s="20" t="s">
        <v>225</v>
      </c>
      <c r="G43" s="20" t="s">
        <v>373</v>
      </c>
      <c r="H43" s="20" t="s">
        <v>381</v>
      </c>
      <c r="I43" s="20" t="s">
        <v>40</v>
      </c>
    </row>
    <row r="44" customFormat="false" ht="51.75" hidden="false" customHeight="true" outlineLevel="0" collapsed="false">
      <c r="A44" s="19" t="s">
        <v>382</v>
      </c>
      <c r="B44" s="20" t="s">
        <v>362</v>
      </c>
      <c r="C44" s="20" t="s">
        <v>383</v>
      </c>
      <c r="D44" s="20" t="s">
        <v>384</v>
      </c>
      <c r="E44" s="20" t="s">
        <v>37</v>
      </c>
      <c r="F44" s="20" t="s">
        <v>225</v>
      </c>
      <c r="G44" s="20" t="s">
        <v>385</v>
      </c>
      <c r="H44" s="20" t="s">
        <v>386</v>
      </c>
      <c r="I44" s="20" t="s">
        <v>40</v>
      </c>
    </row>
    <row r="45" customFormat="false" ht="51.75" hidden="false" customHeight="true" outlineLevel="0" collapsed="false">
      <c r="A45" s="19" t="s">
        <v>340</v>
      </c>
      <c r="B45" s="20" t="s">
        <v>387</v>
      </c>
      <c r="C45" s="20" t="s">
        <v>388</v>
      </c>
      <c r="D45" s="20" t="s">
        <v>389</v>
      </c>
      <c r="E45" s="20" t="s">
        <v>37</v>
      </c>
      <c r="F45" s="20" t="s">
        <v>219</v>
      </c>
      <c r="G45" s="20" t="s">
        <v>390</v>
      </c>
      <c r="H45" s="20" t="s">
        <v>391</v>
      </c>
      <c r="I45" s="20" t="s">
        <v>40</v>
      </c>
    </row>
    <row r="46" customFormat="false" ht="51.75" hidden="false" customHeight="true" outlineLevel="0" collapsed="false">
      <c r="A46" s="19" t="s">
        <v>392</v>
      </c>
      <c r="B46" s="20" t="s">
        <v>387</v>
      </c>
      <c r="C46" s="20" t="s">
        <v>393</v>
      </c>
      <c r="D46" s="20" t="s">
        <v>394</v>
      </c>
      <c r="E46" s="20" t="s">
        <v>37</v>
      </c>
      <c r="F46" s="20" t="s">
        <v>219</v>
      </c>
      <c r="G46" s="20" t="s">
        <v>340</v>
      </c>
      <c r="H46" s="20" t="s">
        <v>395</v>
      </c>
      <c r="I46" s="20" t="s">
        <v>40</v>
      </c>
    </row>
    <row r="47" customFormat="false" ht="51.75" hidden="false" customHeight="true" outlineLevel="0" collapsed="false">
      <c r="A47" s="15" t="s">
        <v>194</v>
      </c>
      <c r="B47" s="16" t="s">
        <v>387</v>
      </c>
      <c r="C47" s="16" t="s">
        <v>396</v>
      </c>
      <c r="D47" s="16" t="s">
        <v>397</v>
      </c>
      <c r="E47" s="16" t="s">
        <v>36</v>
      </c>
      <c r="F47" s="16" t="s">
        <v>219</v>
      </c>
      <c r="G47" s="16" t="s">
        <v>392</v>
      </c>
      <c r="H47" s="16" t="s">
        <v>398</v>
      </c>
      <c r="I47" s="16" t="s">
        <v>40</v>
      </c>
    </row>
    <row r="48" customFormat="false" ht="51.75" hidden="false" customHeight="true" outlineLevel="0" collapsed="false">
      <c r="A48" s="19" t="s">
        <v>399</v>
      </c>
      <c r="B48" s="20" t="s">
        <v>387</v>
      </c>
      <c r="C48" s="20" t="s">
        <v>400</v>
      </c>
      <c r="D48" s="20" t="s">
        <v>401</v>
      </c>
      <c r="E48" s="20" t="s">
        <v>37</v>
      </c>
      <c r="F48" s="20" t="s">
        <v>219</v>
      </c>
      <c r="G48" s="20" t="s">
        <v>392</v>
      </c>
      <c r="H48" s="20" t="s">
        <v>402</v>
      </c>
      <c r="I48" s="20" t="s">
        <v>40</v>
      </c>
    </row>
    <row r="49" customFormat="false" ht="51.75" hidden="false" customHeight="true" outlineLevel="0" collapsed="false">
      <c r="A49" s="17" t="s">
        <v>403</v>
      </c>
      <c r="B49" s="18" t="s">
        <v>387</v>
      </c>
      <c r="C49" s="18" t="s">
        <v>404</v>
      </c>
      <c r="D49" s="18" t="s">
        <v>405</v>
      </c>
      <c r="E49" s="18" t="s">
        <v>38</v>
      </c>
      <c r="F49" s="18" t="s">
        <v>219</v>
      </c>
      <c r="G49" s="18" t="s">
        <v>194</v>
      </c>
      <c r="H49" s="18" t="s">
        <v>406</v>
      </c>
      <c r="I49" s="18" t="s">
        <v>40</v>
      </c>
    </row>
    <row r="50" customFormat="false" ht="51.75" hidden="false" customHeight="true" outlineLevel="0" collapsed="false">
      <c r="A50" s="17" t="s">
        <v>407</v>
      </c>
      <c r="B50" s="18" t="s">
        <v>387</v>
      </c>
      <c r="C50" s="18" t="s">
        <v>408</v>
      </c>
      <c r="D50" s="18" t="s">
        <v>409</v>
      </c>
      <c r="E50" s="18" t="s">
        <v>38</v>
      </c>
      <c r="F50" s="18" t="s">
        <v>410</v>
      </c>
      <c r="G50" s="18" t="s">
        <v>411</v>
      </c>
      <c r="H50" s="18" t="s">
        <v>412</v>
      </c>
      <c r="I50" s="18" t="s">
        <v>40</v>
      </c>
    </row>
    <row r="51" customFormat="false" ht="51.75" hidden="false" customHeight="true" outlineLevel="0" collapsed="false">
      <c r="A51" s="17" t="s">
        <v>413</v>
      </c>
      <c r="B51" s="18" t="s">
        <v>387</v>
      </c>
      <c r="C51" s="18" t="s">
        <v>414</v>
      </c>
      <c r="D51" s="18" t="s">
        <v>415</v>
      </c>
      <c r="E51" s="18" t="s">
        <v>38</v>
      </c>
      <c r="F51" s="18" t="s">
        <v>410</v>
      </c>
      <c r="G51" s="18" t="s">
        <v>407</v>
      </c>
      <c r="H51" s="18" t="s">
        <v>416</v>
      </c>
      <c r="I51" s="18" t="s">
        <v>40</v>
      </c>
    </row>
    <row r="52" customFormat="false" ht="51.75" hidden="false" customHeight="true" outlineLevel="0" collapsed="false">
      <c r="A52" s="15" t="s">
        <v>94</v>
      </c>
      <c r="B52" s="16" t="s">
        <v>417</v>
      </c>
      <c r="C52" s="16" t="s">
        <v>418</v>
      </c>
      <c r="D52" s="16" t="s">
        <v>419</v>
      </c>
      <c r="E52" s="16" t="s">
        <v>36</v>
      </c>
      <c r="F52" s="16" t="s">
        <v>241</v>
      </c>
      <c r="G52" s="16" t="s">
        <v>420</v>
      </c>
      <c r="H52" s="16" t="s">
        <v>421</v>
      </c>
      <c r="I52" s="16" t="s">
        <v>40</v>
      </c>
    </row>
    <row r="53" customFormat="false" ht="51.75" hidden="false" customHeight="true" outlineLevel="0" collapsed="false">
      <c r="A53" s="15" t="s">
        <v>98</v>
      </c>
      <c r="B53" s="16" t="s">
        <v>417</v>
      </c>
      <c r="C53" s="16" t="s">
        <v>422</v>
      </c>
      <c r="D53" s="16" t="s">
        <v>423</v>
      </c>
      <c r="E53" s="16" t="s">
        <v>36</v>
      </c>
      <c r="F53" s="16" t="s">
        <v>241</v>
      </c>
      <c r="G53" s="16" t="s">
        <v>424</v>
      </c>
      <c r="H53" s="16" t="s">
        <v>425</v>
      </c>
      <c r="I53" s="16" t="s">
        <v>40</v>
      </c>
    </row>
    <row r="54" customFormat="false" ht="51.75" hidden="false" customHeight="true" outlineLevel="0" collapsed="false">
      <c r="A54" s="19" t="s">
        <v>426</v>
      </c>
      <c r="B54" s="20" t="s">
        <v>417</v>
      </c>
      <c r="C54" s="20" t="s">
        <v>427</v>
      </c>
      <c r="D54" s="20" t="s">
        <v>428</v>
      </c>
      <c r="E54" s="20" t="s">
        <v>37</v>
      </c>
      <c r="F54" s="20" t="s">
        <v>241</v>
      </c>
      <c r="G54" s="20" t="s">
        <v>429</v>
      </c>
      <c r="H54" s="20" t="s">
        <v>430</v>
      </c>
      <c r="I54" s="20" t="s">
        <v>40</v>
      </c>
    </row>
    <row r="55" customFormat="false" ht="51.75" hidden="false" customHeight="true" outlineLevel="0" collapsed="false">
      <c r="A55" s="15" t="s">
        <v>102</v>
      </c>
      <c r="B55" s="16" t="s">
        <v>417</v>
      </c>
      <c r="C55" s="16" t="s">
        <v>431</v>
      </c>
      <c r="D55" s="16" t="s">
        <v>432</v>
      </c>
      <c r="E55" s="16" t="s">
        <v>36</v>
      </c>
      <c r="F55" s="16" t="s">
        <v>241</v>
      </c>
      <c r="G55" s="16" t="s">
        <v>429</v>
      </c>
      <c r="H55" s="16" t="s">
        <v>433</v>
      </c>
      <c r="I55" s="16" t="s">
        <v>40</v>
      </c>
    </row>
    <row r="56" customFormat="false" ht="51.75" hidden="false" customHeight="true" outlineLevel="0" collapsed="false">
      <c r="A56" s="15" t="s">
        <v>110</v>
      </c>
      <c r="B56" s="16" t="s">
        <v>434</v>
      </c>
      <c r="C56" s="16" t="s">
        <v>435</v>
      </c>
      <c r="D56" s="16" t="s">
        <v>436</v>
      </c>
      <c r="E56" s="16" t="s">
        <v>36</v>
      </c>
      <c r="F56" s="16" t="s">
        <v>241</v>
      </c>
      <c r="G56" s="16" t="s">
        <v>71</v>
      </c>
      <c r="H56" s="16" t="s">
        <v>437</v>
      </c>
      <c r="I56" s="16" t="s">
        <v>40</v>
      </c>
    </row>
    <row r="57" customFormat="false" ht="51.75" hidden="false" customHeight="true" outlineLevel="0" collapsed="false">
      <c r="A57" s="15" t="s">
        <v>118</v>
      </c>
      <c r="B57" s="16" t="s">
        <v>434</v>
      </c>
      <c r="C57" s="16" t="s">
        <v>438</v>
      </c>
      <c r="D57" s="16" t="s">
        <v>439</v>
      </c>
      <c r="E57" s="16" t="s">
        <v>36</v>
      </c>
      <c r="F57" s="16" t="s">
        <v>241</v>
      </c>
      <c r="G57" s="16" t="s">
        <v>110</v>
      </c>
      <c r="H57" s="16" t="s">
        <v>440</v>
      </c>
      <c r="I57" s="16" t="s">
        <v>40</v>
      </c>
    </row>
    <row r="58" customFormat="false" ht="51.75" hidden="false" customHeight="true" outlineLevel="0" collapsed="false">
      <c r="A58" s="17" t="s">
        <v>441</v>
      </c>
      <c r="B58" s="18" t="s">
        <v>434</v>
      </c>
      <c r="C58" s="18" t="s">
        <v>442</v>
      </c>
      <c r="D58" s="18" t="s">
        <v>443</v>
      </c>
      <c r="E58" s="18" t="s">
        <v>38</v>
      </c>
      <c r="F58" s="18" t="s">
        <v>219</v>
      </c>
      <c r="G58" s="18" t="s">
        <v>444</v>
      </c>
      <c r="H58" s="18" t="s">
        <v>445</v>
      </c>
      <c r="I58" s="18" t="s">
        <v>40</v>
      </c>
    </row>
    <row r="59" customFormat="false" ht="51.75" hidden="false" customHeight="true" outlineLevel="0" collapsed="false">
      <c r="A59" s="19" t="s">
        <v>385</v>
      </c>
      <c r="B59" s="20" t="s">
        <v>446</v>
      </c>
      <c r="C59" s="20" t="s">
        <v>447</v>
      </c>
      <c r="D59" s="20" t="s">
        <v>448</v>
      </c>
      <c r="E59" s="20" t="s">
        <v>37</v>
      </c>
      <c r="F59" s="20" t="s">
        <v>219</v>
      </c>
      <c r="G59" s="20" t="s">
        <v>166</v>
      </c>
      <c r="H59" s="20" t="s">
        <v>449</v>
      </c>
      <c r="I59" s="20" t="s">
        <v>40</v>
      </c>
    </row>
    <row r="60" customFormat="false" ht="51.75" hidden="false" customHeight="true" outlineLevel="0" collapsed="false">
      <c r="A60" s="17" t="s">
        <v>450</v>
      </c>
      <c r="B60" s="18" t="s">
        <v>446</v>
      </c>
      <c r="C60" s="18" t="s">
        <v>451</v>
      </c>
      <c r="D60" s="18" t="s">
        <v>452</v>
      </c>
      <c r="E60" s="18" t="s">
        <v>38</v>
      </c>
      <c r="F60" s="18" t="s">
        <v>219</v>
      </c>
      <c r="G60" s="18" t="s">
        <v>453</v>
      </c>
      <c r="H60" s="18" t="s">
        <v>454</v>
      </c>
      <c r="I60" s="18" t="s">
        <v>40</v>
      </c>
    </row>
    <row r="61" customFormat="false" ht="51.75" hidden="false" customHeight="true" outlineLevel="0" collapsed="false">
      <c r="A61" s="19" t="s">
        <v>455</v>
      </c>
      <c r="B61" s="20" t="s">
        <v>456</v>
      </c>
      <c r="C61" s="20" t="s">
        <v>457</v>
      </c>
      <c r="D61" s="20" t="s">
        <v>458</v>
      </c>
      <c r="E61" s="20" t="s">
        <v>37</v>
      </c>
      <c r="F61" s="20" t="s">
        <v>219</v>
      </c>
      <c r="G61" s="20" t="s">
        <v>429</v>
      </c>
      <c r="H61" s="20" t="s">
        <v>459</v>
      </c>
      <c r="I61" s="20" t="s">
        <v>40</v>
      </c>
    </row>
    <row r="62" customFormat="false" ht="51.75" hidden="false" customHeight="true" outlineLevel="0" collapsed="false">
      <c r="A62" s="17" t="s">
        <v>460</v>
      </c>
      <c r="B62" s="18" t="s">
        <v>456</v>
      </c>
      <c r="C62" s="18" t="s">
        <v>461</v>
      </c>
      <c r="D62" s="18" t="s">
        <v>462</v>
      </c>
      <c r="E62" s="18" t="s">
        <v>38</v>
      </c>
      <c r="F62" s="18" t="s">
        <v>225</v>
      </c>
      <c r="G62" s="18" t="s">
        <v>463</v>
      </c>
      <c r="H62" s="18" t="s">
        <v>464</v>
      </c>
      <c r="I62" s="18" t="s">
        <v>40</v>
      </c>
    </row>
    <row r="63" customFormat="false" ht="51.75" hidden="false" customHeight="true" outlineLevel="0" collapsed="false">
      <c r="A63" s="17" t="s">
        <v>465</v>
      </c>
      <c r="B63" s="18" t="s">
        <v>456</v>
      </c>
      <c r="C63" s="18" t="s">
        <v>466</v>
      </c>
      <c r="D63" s="18" t="s">
        <v>467</v>
      </c>
      <c r="E63" s="18" t="s">
        <v>38</v>
      </c>
      <c r="F63" s="18" t="s">
        <v>219</v>
      </c>
      <c r="G63" s="18" t="s">
        <v>385</v>
      </c>
      <c r="H63" s="18" t="s">
        <v>468</v>
      </c>
      <c r="I63" s="18" t="s">
        <v>40</v>
      </c>
    </row>
    <row r="64" customFormat="false" ht="51.75" hidden="false" customHeight="true" outlineLevel="0" collapsed="false">
      <c r="A64" s="15" t="s">
        <v>198</v>
      </c>
      <c r="B64" s="16" t="s">
        <v>469</v>
      </c>
      <c r="C64" s="16" t="s">
        <v>470</v>
      </c>
      <c r="D64" s="16" t="s">
        <v>471</v>
      </c>
      <c r="E64" s="16" t="s">
        <v>36</v>
      </c>
      <c r="F64" s="16" t="s">
        <v>219</v>
      </c>
      <c r="G64" s="16" t="s">
        <v>323</v>
      </c>
      <c r="H64" s="16" t="s">
        <v>472</v>
      </c>
      <c r="I64" s="16" t="s">
        <v>40</v>
      </c>
    </row>
    <row r="65" customFormat="false" ht="51.75" hidden="false" customHeight="true" outlineLevel="0" collapsed="false">
      <c r="A65" s="15" t="s">
        <v>162</v>
      </c>
      <c r="B65" s="16" t="s">
        <v>473</v>
      </c>
      <c r="C65" s="16" t="s">
        <v>474</v>
      </c>
      <c r="D65" s="16" t="s">
        <v>475</v>
      </c>
      <c r="E65" s="16" t="s">
        <v>36</v>
      </c>
      <c r="F65" s="16" t="s">
        <v>219</v>
      </c>
      <c r="G65" s="16" t="s">
        <v>154</v>
      </c>
      <c r="H65" s="16" t="s">
        <v>476</v>
      </c>
      <c r="I65" s="16" t="s">
        <v>40</v>
      </c>
    </row>
    <row r="66" customFormat="false" ht="51.75" hidden="false" customHeight="true" outlineLevel="0" collapsed="false">
      <c r="A66" s="21" t="s">
        <v>477</v>
      </c>
      <c r="B66" s="22" t="s">
        <v>478</v>
      </c>
      <c r="C66" s="22" t="s">
        <v>479</v>
      </c>
      <c r="D66" s="22" t="s">
        <v>480</v>
      </c>
      <c r="E66" s="22" t="s">
        <v>39</v>
      </c>
      <c r="F66" s="22" t="s">
        <v>481</v>
      </c>
      <c r="G66" s="22" t="s">
        <v>482</v>
      </c>
      <c r="H66" s="22" t="s">
        <v>483</v>
      </c>
      <c r="I66" s="22" t="s">
        <v>40</v>
      </c>
    </row>
    <row r="67" customFormat="false" ht="51.75" hidden="false" customHeight="true" outlineLevel="0" collapsed="false">
      <c r="A67" s="21" t="s">
        <v>484</v>
      </c>
      <c r="B67" s="22" t="s">
        <v>478</v>
      </c>
      <c r="C67" s="22" t="s">
        <v>485</v>
      </c>
      <c r="D67" s="22" t="s">
        <v>486</v>
      </c>
      <c r="E67" s="22" t="s">
        <v>39</v>
      </c>
      <c r="F67" s="22" t="s">
        <v>481</v>
      </c>
      <c r="G67" s="22" t="s">
        <v>477</v>
      </c>
      <c r="H67" s="22" t="s">
        <v>487</v>
      </c>
      <c r="I67" s="22" t="s">
        <v>40</v>
      </c>
    </row>
    <row r="68" customFormat="false" ht="51.75" hidden="false" customHeight="true" outlineLevel="0" collapsed="false">
      <c r="A68" s="21" t="s">
        <v>488</v>
      </c>
      <c r="B68" s="22" t="s">
        <v>478</v>
      </c>
      <c r="C68" s="22" t="s">
        <v>489</v>
      </c>
      <c r="D68" s="22" t="s">
        <v>490</v>
      </c>
      <c r="E68" s="22" t="s">
        <v>39</v>
      </c>
      <c r="F68" s="22" t="s">
        <v>491</v>
      </c>
      <c r="G68" s="22" t="s">
        <v>484</v>
      </c>
      <c r="H68" s="22" t="s">
        <v>492</v>
      </c>
      <c r="I68" s="22" t="s">
        <v>40</v>
      </c>
    </row>
  </sheetData>
  <autoFilter ref="A1:I68"/>
  <dataValidations count="2">
    <dataValidation allowBlank="false" errorStyle="stop" operator="between" showDropDown="false" showErrorMessage="false" showInputMessage="false" sqref="I2:I68" type="list">
      <formula1>"À faire,En cours,En revue,Fait,Bloqué,Plus tard"</formula1>
      <formula2>0</formula2>
    </dataValidation>
    <dataValidation allowBlank="false" errorStyle="stop" operator="between" showDropDown="false" showErrorMessage="false" showInputMessage="false" sqref="E2:E68" type="list">
      <formula1>"P0,P1,P2,P3"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10-Features</oddHeader>
    <oddFooter>&amp;RPage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8"/>
    <col collapsed="false" customWidth="true" hidden="false" outlineLevel="0" max="6" min="5" style="0" width="12"/>
    <col collapsed="false" customWidth="true" hidden="false" outlineLevel="0" max="7" min="7" style="0" width="32"/>
  </cols>
  <sheetData>
    <row r="1" customFormat="false" ht="21.75" hidden="false" customHeight="true" outlineLevel="0" collapsed="false">
      <c r="A1" s="6" t="s">
        <v>47</v>
      </c>
      <c r="B1" s="6" t="s">
        <v>493</v>
      </c>
      <c r="C1" s="6" t="s">
        <v>494</v>
      </c>
      <c r="D1" s="6" t="s">
        <v>495</v>
      </c>
      <c r="E1" s="6" t="s">
        <v>496</v>
      </c>
      <c r="F1" s="6" t="s">
        <v>497</v>
      </c>
      <c r="G1" s="6" t="s">
        <v>498</v>
      </c>
    </row>
    <row r="2" customFormat="false" ht="27.75" hidden="false" customHeight="true" outlineLevel="0" collapsed="false">
      <c r="A2" s="7" t="s">
        <v>499</v>
      </c>
      <c r="B2" s="8" t="s">
        <v>500</v>
      </c>
      <c r="C2" s="8" t="s">
        <v>501</v>
      </c>
      <c r="D2" s="8" t="s">
        <v>502</v>
      </c>
      <c r="E2" s="8" t="n">
        <f aca="false">COUNTIF('22-Leçons'!A:A,A2)</f>
        <v>9</v>
      </c>
      <c r="F2" s="8" t="n">
        <f aca="false">COUNTIFS('22-Leçons'!A:A,A2,'22-Leçons'!I:I,"V1-pilote")</f>
        <v>1</v>
      </c>
      <c r="G2" s="8" t="s">
        <v>503</v>
      </c>
    </row>
    <row r="3" customFormat="false" ht="27.75" hidden="false" customHeight="true" outlineLevel="0" collapsed="false">
      <c r="A3" s="9" t="s">
        <v>504</v>
      </c>
      <c r="B3" s="10" t="s">
        <v>505</v>
      </c>
      <c r="C3" s="10" t="s">
        <v>506</v>
      </c>
      <c r="D3" s="10" t="s">
        <v>507</v>
      </c>
      <c r="E3" s="10" t="n">
        <f aca="false">COUNTIF('22-Leçons'!A:A,A3)</f>
        <v>9</v>
      </c>
      <c r="F3" s="10" t="n">
        <f aca="false">COUNTIFS('22-Leçons'!A:A,A3,'22-Leçons'!I:I,"V1-pilote")</f>
        <v>3</v>
      </c>
      <c r="G3" s="10" t="s">
        <v>508</v>
      </c>
    </row>
    <row r="4" customFormat="false" ht="27.75" hidden="false" customHeight="true" outlineLevel="0" collapsed="false">
      <c r="A4" s="7" t="s">
        <v>509</v>
      </c>
      <c r="B4" s="8" t="s">
        <v>510</v>
      </c>
      <c r="C4" s="8" t="s">
        <v>511</v>
      </c>
      <c r="D4" s="8" t="s">
        <v>512</v>
      </c>
      <c r="E4" s="8" t="n">
        <f aca="false">COUNTIF('22-Leçons'!A:A,A4)</f>
        <v>12</v>
      </c>
      <c r="F4" s="8" t="n">
        <f aca="false">COUNTIFS('22-Leçons'!A:A,A4,'22-Leçons'!I:I,"V1-pilote")</f>
        <v>2</v>
      </c>
      <c r="G4" s="8" t="s">
        <v>513</v>
      </c>
    </row>
    <row r="5" customFormat="false" ht="27.75" hidden="false" customHeight="true" outlineLevel="0" collapsed="false">
      <c r="A5" s="9" t="s">
        <v>514</v>
      </c>
      <c r="B5" s="10" t="s">
        <v>515</v>
      </c>
      <c r="C5" s="10" t="s">
        <v>516</v>
      </c>
      <c r="D5" s="10" t="s">
        <v>517</v>
      </c>
      <c r="E5" s="10" t="n">
        <f aca="false">COUNTIF('22-Leçons'!A:A,A5)</f>
        <v>10</v>
      </c>
      <c r="F5" s="10" t="n">
        <f aca="false">COUNTIFS('22-Leçons'!A:A,A5,'22-Leçons'!I:I,"V1-pilote")</f>
        <v>4</v>
      </c>
      <c r="G5" s="10" t="s">
        <v>518</v>
      </c>
    </row>
    <row r="6" customFormat="false" ht="27.75" hidden="false" customHeight="true" outlineLevel="0" collapsed="false">
      <c r="A6" s="7" t="s">
        <v>519</v>
      </c>
      <c r="B6" s="8" t="s">
        <v>520</v>
      </c>
      <c r="C6" s="8" t="s">
        <v>521</v>
      </c>
      <c r="D6" s="8" t="s">
        <v>522</v>
      </c>
      <c r="E6" s="8" t="n">
        <f aca="false">COUNTIF('22-Leçons'!A:A,A6)</f>
        <v>8</v>
      </c>
      <c r="F6" s="8" t="n">
        <f aca="false">COUNTIFS('22-Leçons'!A:A,A6,'22-Leçons'!I:I,"V1-pilote")</f>
        <v>2</v>
      </c>
      <c r="G6" s="8" t="s">
        <v>523</v>
      </c>
    </row>
    <row r="7" customFormat="false" ht="27.75" hidden="false" customHeight="true" outlineLevel="0" collapsed="false">
      <c r="A7" s="9" t="s">
        <v>524</v>
      </c>
      <c r="B7" s="10" t="s">
        <v>525</v>
      </c>
      <c r="C7" s="10" t="s">
        <v>526</v>
      </c>
      <c r="D7" s="10" t="s">
        <v>527</v>
      </c>
      <c r="E7" s="10" t="n">
        <f aca="false">COUNTIF('22-Leçons'!A:A,A7)</f>
        <v>5</v>
      </c>
      <c r="F7" s="10" t="n">
        <f aca="false">COUNTIFS('22-Leçons'!A:A,A7,'22-Leçons'!I:I,"V1-pilote")</f>
        <v>2</v>
      </c>
      <c r="G7" s="10" t="s">
        <v>528</v>
      </c>
    </row>
    <row r="8" customFormat="false" ht="27.75" hidden="false" customHeight="true" outlineLevel="0" collapsed="false">
      <c r="A8" s="7" t="s">
        <v>529</v>
      </c>
      <c r="B8" s="8" t="s">
        <v>530</v>
      </c>
      <c r="C8" s="8" t="s">
        <v>531</v>
      </c>
      <c r="D8" s="8" t="s">
        <v>532</v>
      </c>
      <c r="E8" s="8" t="n">
        <f aca="false">COUNTIF('22-Leçons'!A:A,A8)</f>
        <v>4</v>
      </c>
      <c r="F8" s="8" t="n">
        <f aca="false">COUNTIFS('22-Leçons'!A:A,A8,'22-Leçons'!I:I,"V1-pilote")</f>
        <v>0</v>
      </c>
      <c r="G8" s="8" t="s">
        <v>533</v>
      </c>
    </row>
    <row r="9" customFormat="false" ht="27.75" hidden="false" customHeight="true" outlineLevel="0" collapsed="false">
      <c r="A9" s="9" t="s">
        <v>534</v>
      </c>
      <c r="B9" s="10" t="s">
        <v>535</v>
      </c>
      <c r="C9" s="10" t="s">
        <v>536</v>
      </c>
      <c r="D9" s="10" t="s">
        <v>537</v>
      </c>
      <c r="E9" s="10" t="n">
        <f aca="false">COUNTIF('22-Leçons'!A:A,A9)</f>
        <v>3</v>
      </c>
      <c r="F9" s="10" t="n">
        <f aca="false">COUNTIFS('22-Leçons'!A:A,A9,'22-Leçons'!I:I,"V1-pilote")</f>
        <v>0</v>
      </c>
      <c r="G9" s="10" t="s">
        <v>538</v>
      </c>
    </row>
    <row r="10" customFormat="false" ht="27.75" hidden="false" customHeight="true" outlineLevel="0" collapsed="false">
      <c r="A10" s="7" t="s">
        <v>539</v>
      </c>
      <c r="B10" s="8" t="s">
        <v>540</v>
      </c>
      <c r="C10" s="8" t="s">
        <v>541</v>
      </c>
      <c r="D10" s="8" t="s">
        <v>542</v>
      </c>
      <c r="E10" s="8" t="n">
        <f aca="false">COUNTIF('22-Leçons'!A:A,A10)</f>
        <v>4</v>
      </c>
      <c r="F10" s="8" t="n">
        <f aca="false">COUNTIFS('22-Leçons'!A:A,A10,'22-Leçons'!I:I,"V1-pilote")</f>
        <v>0</v>
      </c>
      <c r="G10" s="8" t="s">
        <v>543</v>
      </c>
    </row>
    <row r="11" customFormat="false" ht="27.75" hidden="false" customHeight="true" outlineLevel="0" collapsed="false">
      <c r="A11" s="9" t="s">
        <v>544</v>
      </c>
      <c r="B11" s="10" t="s">
        <v>545</v>
      </c>
      <c r="C11" s="10" t="s">
        <v>546</v>
      </c>
      <c r="D11" s="10" t="s">
        <v>547</v>
      </c>
      <c r="E11" s="10" t="n">
        <f aca="false">COUNTIF('22-Leçons'!A:A,A11)</f>
        <v>6</v>
      </c>
      <c r="F11" s="10" t="n">
        <f aca="false">COUNTIFS('22-Leçons'!A:A,A11,'22-Leçons'!I:I,"V1-pilote")</f>
        <v>0</v>
      </c>
      <c r="G11" s="10" t="s">
        <v>548</v>
      </c>
    </row>
    <row r="12" customFormat="false" ht="27.75" hidden="false" customHeight="true" outlineLevel="0" collapsed="false">
      <c r="A12" s="7" t="s">
        <v>549</v>
      </c>
      <c r="B12" s="8" t="s">
        <v>550</v>
      </c>
      <c r="C12" s="8" t="s">
        <v>551</v>
      </c>
      <c r="D12" s="8" t="s">
        <v>552</v>
      </c>
      <c r="E12" s="8" t="n">
        <f aca="false">COUNTIF('22-Leçons'!A:A,A12)</f>
        <v>7</v>
      </c>
      <c r="F12" s="8" t="n">
        <f aca="false">COUNTIFS('22-Leçons'!A:A,A12,'22-Leçons'!I:I,"V1-pilote")</f>
        <v>0</v>
      </c>
      <c r="G12" s="8" t="s">
        <v>553</v>
      </c>
    </row>
    <row r="13" customFormat="false" ht="27.75" hidden="false" customHeight="true" outlineLevel="0" collapsed="false">
      <c r="A13" s="9" t="s">
        <v>554</v>
      </c>
      <c r="B13" s="10" t="s">
        <v>555</v>
      </c>
      <c r="C13" s="10" t="s">
        <v>556</v>
      </c>
      <c r="D13" s="10" t="s">
        <v>557</v>
      </c>
      <c r="E13" s="10" t="n">
        <f aca="false">COUNTIF('22-Leçons'!A:A,A13)</f>
        <v>5</v>
      </c>
      <c r="F13" s="10" t="n">
        <f aca="false">COUNTIFS('22-Leçons'!A:A,A13,'22-Leçons'!I:I,"V1-pilote")</f>
        <v>0</v>
      </c>
      <c r="G13" s="10" t="s">
        <v>558</v>
      </c>
    </row>
    <row r="14" customFormat="false" ht="27.75" hidden="false" customHeight="true" outlineLevel="0" collapsed="false">
      <c r="A14" s="7" t="s">
        <v>559</v>
      </c>
      <c r="B14" s="8" t="s">
        <v>560</v>
      </c>
      <c r="C14" s="8" t="s">
        <v>561</v>
      </c>
      <c r="D14" s="8" t="s">
        <v>562</v>
      </c>
      <c r="E14" s="8" t="n">
        <f aca="false">COUNTIF('22-Leçons'!A:A,A14)</f>
        <v>3</v>
      </c>
      <c r="F14" s="8" t="n">
        <f aca="false">COUNTIFS('22-Leçons'!A:A,A14,'22-Leçons'!I:I,"V1-pilote")</f>
        <v>0</v>
      </c>
      <c r="G14" s="8" t="s">
        <v>563</v>
      </c>
    </row>
  </sheetData>
  <autoFilter ref="A1:G14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20-Domaines</oddHeader>
    <oddFooter>&amp;RPage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6" t="s">
        <v>47</v>
      </c>
      <c r="B1" s="6" t="s">
        <v>493</v>
      </c>
      <c r="C1" s="6" t="s">
        <v>564</v>
      </c>
      <c r="D1" s="6" t="s">
        <v>496</v>
      </c>
    </row>
    <row r="2" customFormat="false" ht="19.5" hidden="false" customHeight="true" outlineLevel="0" collapsed="false">
      <c r="A2" s="7" t="s">
        <v>565</v>
      </c>
      <c r="B2" s="8" t="s">
        <v>500</v>
      </c>
      <c r="C2" s="8" t="s">
        <v>566</v>
      </c>
      <c r="D2" s="8" t="n">
        <f aca="false">COUNTIF('22-Leçons'!C:C,A2)</f>
        <v>3</v>
      </c>
    </row>
    <row r="3" customFormat="false" ht="19.5" hidden="false" customHeight="true" outlineLevel="0" collapsed="false">
      <c r="A3" s="9" t="s">
        <v>567</v>
      </c>
      <c r="B3" s="10" t="s">
        <v>500</v>
      </c>
      <c r="C3" s="10" t="s">
        <v>568</v>
      </c>
      <c r="D3" s="10" t="n">
        <f aca="false">COUNTIF('22-Leçons'!C:C,A3)</f>
        <v>3</v>
      </c>
    </row>
    <row r="4" customFormat="false" ht="19.5" hidden="false" customHeight="true" outlineLevel="0" collapsed="false">
      <c r="A4" s="7" t="s">
        <v>569</v>
      </c>
      <c r="B4" s="8" t="s">
        <v>500</v>
      </c>
      <c r="C4" s="8" t="s">
        <v>570</v>
      </c>
      <c r="D4" s="8" t="n">
        <f aca="false">COUNTIF('22-Leçons'!C:C,A4)</f>
        <v>1</v>
      </c>
    </row>
    <row r="5" customFormat="false" ht="19.5" hidden="false" customHeight="true" outlineLevel="0" collapsed="false">
      <c r="A5" s="9" t="s">
        <v>571</v>
      </c>
      <c r="B5" s="10" t="s">
        <v>500</v>
      </c>
      <c r="C5" s="10" t="s">
        <v>572</v>
      </c>
      <c r="D5" s="10" t="n">
        <f aca="false">COUNTIF('22-Leçons'!C:C,A5)</f>
        <v>1</v>
      </c>
    </row>
    <row r="6" customFormat="false" ht="19.5" hidden="false" customHeight="true" outlineLevel="0" collapsed="false">
      <c r="A6" s="7" t="s">
        <v>573</v>
      </c>
      <c r="B6" s="8" t="s">
        <v>500</v>
      </c>
      <c r="C6" s="8" t="s">
        <v>574</v>
      </c>
      <c r="D6" s="8" t="n">
        <f aca="false">COUNTIF('22-Leçons'!C:C,A6)</f>
        <v>1</v>
      </c>
    </row>
    <row r="7" customFormat="false" ht="19.5" hidden="false" customHeight="true" outlineLevel="0" collapsed="false">
      <c r="A7" s="9" t="s">
        <v>575</v>
      </c>
      <c r="B7" s="10" t="s">
        <v>505</v>
      </c>
      <c r="C7" s="10" t="s">
        <v>576</v>
      </c>
      <c r="D7" s="10" t="n">
        <f aca="false">COUNTIF('22-Leçons'!C:C,A7)</f>
        <v>3</v>
      </c>
    </row>
    <row r="8" customFormat="false" ht="19.5" hidden="false" customHeight="true" outlineLevel="0" collapsed="false">
      <c r="A8" s="7" t="s">
        <v>577</v>
      </c>
      <c r="B8" s="8" t="s">
        <v>505</v>
      </c>
      <c r="C8" s="8" t="s">
        <v>533</v>
      </c>
      <c r="D8" s="8" t="n">
        <f aca="false">COUNTIF('22-Leçons'!C:C,A8)</f>
        <v>3</v>
      </c>
    </row>
    <row r="9" customFormat="false" ht="19.5" hidden="false" customHeight="true" outlineLevel="0" collapsed="false">
      <c r="A9" s="9" t="s">
        <v>578</v>
      </c>
      <c r="B9" s="10" t="s">
        <v>505</v>
      </c>
      <c r="C9" s="10" t="s">
        <v>579</v>
      </c>
      <c r="D9" s="10" t="n">
        <f aca="false">COUNTIF('22-Leçons'!C:C,A9)</f>
        <v>1</v>
      </c>
    </row>
    <row r="10" customFormat="false" ht="19.5" hidden="false" customHeight="true" outlineLevel="0" collapsed="false">
      <c r="A10" s="7" t="s">
        <v>580</v>
      </c>
      <c r="B10" s="8" t="s">
        <v>505</v>
      </c>
      <c r="C10" s="8" t="s">
        <v>581</v>
      </c>
      <c r="D10" s="8" t="n">
        <f aca="false">COUNTIF('22-Leçons'!C:C,A10)</f>
        <v>2</v>
      </c>
    </row>
    <row r="11" customFormat="false" ht="19.5" hidden="false" customHeight="true" outlineLevel="0" collapsed="false">
      <c r="A11" s="9" t="s">
        <v>582</v>
      </c>
      <c r="B11" s="10" t="s">
        <v>510</v>
      </c>
      <c r="C11" s="10" t="s">
        <v>583</v>
      </c>
      <c r="D11" s="10" t="n">
        <f aca="false">COUNTIF('22-Leçons'!C:C,A11)</f>
        <v>10</v>
      </c>
    </row>
    <row r="12" customFormat="false" ht="19.5" hidden="false" customHeight="true" outlineLevel="0" collapsed="false">
      <c r="A12" s="7" t="s">
        <v>584</v>
      </c>
      <c r="B12" s="8" t="s">
        <v>510</v>
      </c>
      <c r="C12" s="8" t="s">
        <v>585</v>
      </c>
      <c r="D12" s="8" t="n">
        <f aca="false">COUNTIF('22-Leçons'!C:C,A12)</f>
        <v>2</v>
      </c>
    </row>
    <row r="13" customFormat="false" ht="19.5" hidden="false" customHeight="true" outlineLevel="0" collapsed="false">
      <c r="A13" s="9" t="s">
        <v>586</v>
      </c>
      <c r="B13" s="10" t="s">
        <v>515</v>
      </c>
      <c r="C13" s="10" t="s">
        <v>587</v>
      </c>
      <c r="D13" s="10" t="n">
        <f aca="false">COUNTIF('22-Leçons'!C:C,A13)</f>
        <v>2</v>
      </c>
    </row>
    <row r="14" customFormat="false" ht="19.5" hidden="false" customHeight="true" outlineLevel="0" collapsed="false">
      <c r="A14" s="7" t="s">
        <v>588</v>
      </c>
      <c r="B14" s="8" t="s">
        <v>515</v>
      </c>
      <c r="C14" s="8" t="s">
        <v>589</v>
      </c>
      <c r="D14" s="8" t="n">
        <f aca="false">COUNTIF('22-Leçons'!C:C,A14)</f>
        <v>3</v>
      </c>
    </row>
    <row r="15" customFormat="false" ht="19.5" hidden="false" customHeight="true" outlineLevel="0" collapsed="false">
      <c r="A15" s="9" t="s">
        <v>590</v>
      </c>
      <c r="B15" s="10" t="s">
        <v>515</v>
      </c>
      <c r="C15" s="10" t="s">
        <v>591</v>
      </c>
      <c r="D15" s="10" t="n">
        <f aca="false">COUNTIF('22-Leçons'!C:C,A15)</f>
        <v>1</v>
      </c>
    </row>
    <row r="16" customFormat="false" ht="19.5" hidden="false" customHeight="true" outlineLevel="0" collapsed="false">
      <c r="A16" s="7" t="s">
        <v>592</v>
      </c>
      <c r="B16" s="8" t="s">
        <v>515</v>
      </c>
      <c r="C16" s="8" t="s">
        <v>593</v>
      </c>
      <c r="D16" s="8" t="n">
        <f aca="false">COUNTIF('22-Leçons'!C:C,A16)</f>
        <v>4</v>
      </c>
    </row>
    <row r="17" customFormat="false" ht="19.5" hidden="false" customHeight="true" outlineLevel="0" collapsed="false">
      <c r="A17" s="9" t="s">
        <v>594</v>
      </c>
      <c r="B17" s="10" t="s">
        <v>520</v>
      </c>
      <c r="C17" s="10" t="s">
        <v>595</v>
      </c>
      <c r="D17" s="10" t="n">
        <f aca="false">COUNTIF('22-Leçons'!C:C,A17)</f>
        <v>3</v>
      </c>
    </row>
    <row r="18" customFormat="false" ht="19.5" hidden="false" customHeight="true" outlineLevel="0" collapsed="false">
      <c r="A18" s="7" t="s">
        <v>596</v>
      </c>
      <c r="B18" s="8" t="s">
        <v>520</v>
      </c>
      <c r="C18" s="8" t="s">
        <v>597</v>
      </c>
      <c r="D18" s="8" t="n">
        <f aca="false">COUNTIF('22-Leçons'!C:C,A18)</f>
        <v>2</v>
      </c>
    </row>
    <row r="19" customFormat="false" ht="19.5" hidden="false" customHeight="true" outlineLevel="0" collapsed="false">
      <c r="A19" s="9" t="s">
        <v>598</v>
      </c>
      <c r="B19" s="10" t="s">
        <v>520</v>
      </c>
      <c r="C19" s="10" t="s">
        <v>599</v>
      </c>
      <c r="D19" s="10" t="n">
        <f aca="false">COUNTIF('22-Leçons'!C:C,A19)</f>
        <v>1</v>
      </c>
    </row>
    <row r="20" customFormat="false" ht="19.5" hidden="false" customHeight="true" outlineLevel="0" collapsed="false">
      <c r="A20" s="7" t="s">
        <v>600</v>
      </c>
      <c r="B20" s="8" t="s">
        <v>520</v>
      </c>
      <c r="C20" s="8" t="s">
        <v>601</v>
      </c>
      <c r="D20" s="8" t="n">
        <f aca="false">COUNTIF('22-Leçons'!C:C,A20)</f>
        <v>2</v>
      </c>
    </row>
    <row r="21" customFormat="false" ht="19.5" hidden="false" customHeight="true" outlineLevel="0" collapsed="false">
      <c r="A21" s="9" t="s">
        <v>602</v>
      </c>
      <c r="B21" s="10" t="s">
        <v>525</v>
      </c>
      <c r="C21" s="10" t="s">
        <v>603</v>
      </c>
      <c r="D21" s="10" t="n">
        <f aca="false">COUNTIF('22-Leçons'!C:C,A21)</f>
        <v>3</v>
      </c>
    </row>
    <row r="22" customFormat="false" ht="19.5" hidden="false" customHeight="true" outlineLevel="0" collapsed="false">
      <c r="A22" s="7" t="s">
        <v>604</v>
      </c>
      <c r="B22" s="8" t="s">
        <v>525</v>
      </c>
      <c r="C22" s="8" t="s">
        <v>605</v>
      </c>
      <c r="D22" s="8" t="n">
        <f aca="false">COUNTIF('22-Leçons'!C:C,A22)</f>
        <v>1</v>
      </c>
    </row>
    <row r="23" customFormat="false" ht="19.5" hidden="false" customHeight="true" outlineLevel="0" collapsed="false">
      <c r="A23" s="9" t="s">
        <v>606</v>
      </c>
      <c r="B23" s="10" t="s">
        <v>525</v>
      </c>
      <c r="C23" s="10" t="s">
        <v>607</v>
      </c>
      <c r="D23" s="10" t="n">
        <f aca="false">COUNTIF('22-Leçons'!C:C,A23)</f>
        <v>1</v>
      </c>
    </row>
    <row r="24" customFormat="false" ht="19.5" hidden="false" customHeight="true" outlineLevel="0" collapsed="false">
      <c r="A24" s="7" t="s">
        <v>608</v>
      </c>
      <c r="B24" s="8" t="s">
        <v>530</v>
      </c>
      <c r="C24" s="8" t="s">
        <v>609</v>
      </c>
      <c r="D24" s="8" t="n">
        <f aca="false">COUNTIF('22-Leçons'!C:C,A24)</f>
        <v>1</v>
      </c>
    </row>
    <row r="25" customFormat="false" ht="19.5" hidden="false" customHeight="true" outlineLevel="0" collapsed="false">
      <c r="A25" s="9" t="s">
        <v>610</v>
      </c>
      <c r="B25" s="10" t="s">
        <v>530</v>
      </c>
      <c r="C25" s="10" t="s">
        <v>611</v>
      </c>
      <c r="D25" s="10" t="n">
        <f aca="false">COUNTIF('22-Leçons'!C:C,A25)</f>
        <v>2</v>
      </c>
    </row>
    <row r="26" customFormat="false" ht="19.5" hidden="false" customHeight="true" outlineLevel="0" collapsed="false">
      <c r="A26" s="7" t="s">
        <v>612</v>
      </c>
      <c r="B26" s="8" t="s">
        <v>530</v>
      </c>
      <c r="C26" s="8" t="s">
        <v>613</v>
      </c>
      <c r="D26" s="8" t="n">
        <f aca="false">COUNTIF('22-Leçons'!C:C,A26)</f>
        <v>1</v>
      </c>
    </row>
    <row r="27" customFormat="false" ht="19.5" hidden="false" customHeight="true" outlineLevel="0" collapsed="false">
      <c r="A27" s="9" t="s">
        <v>614</v>
      </c>
      <c r="B27" s="10" t="s">
        <v>535</v>
      </c>
      <c r="C27" s="10" t="s">
        <v>615</v>
      </c>
      <c r="D27" s="10" t="n">
        <f aca="false">COUNTIF('22-Leçons'!C:C,A27)</f>
        <v>1</v>
      </c>
    </row>
    <row r="28" customFormat="false" ht="19.5" hidden="false" customHeight="true" outlineLevel="0" collapsed="false">
      <c r="A28" s="7" t="s">
        <v>616</v>
      </c>
      <c r="B28" s="8" t="s">
        <v>535</v>
      </c>
      <c r="C28" s="8" t="s">
        <v>538</v>
      </c>
      <c r="D28" s="8" t="n">
        <f aca="false">COUNTIF('22-Leçons'!C:C,A28)</f>
        <v>2</v>
      </c>
    </row>
    <row r="29" customFormat="false" ht="19.5" hidden="false" customHeight="true" outlineLevel="0" collapsed="false">
      <c r="A29" s="9" t="s">
        <v>617</v>
      </c>
      <c r="B29" s="10" t="s">
        <v>540</v>
      </c>
      <c r="C29" s="10" t="s">
        <v>618</v>
      </c>
      <c r="D29" s="10" t="n">
        <f aca="false">COUNTIF('22-Leçons'!C:C,A29)</f>
        <v>3</v>
      </c>
    </row>
    <row r="30" customFormat="false" ht="19.5" hidden="false" customHeight="true" outlineLevel="0" collapsed="false">
      <c r="A30" s="7" t="s">
        <v>619</v>
      </c>
      <c r="B30" s="8" t="s">
        <v>540</v>
      </c>
      <c r="C30" s="8" t="s">
        <v>620</v>
      </c>
      <c r="D30" s="8" t="n">
        <f aca="false">COUNTIF('22-Leçons'!C:C,A30)</f>
        <v>1</v>
      </c>
    </row>
    <row r="31" customFormat="false" ht="19.5" hidden="false" customHeight="true" outlineLevel="0" collapsed="false">
      <c r="A31" s="9" t="s">
        <v>621</v>
      </c>
      <c r="B31" s="10" t="s">
        <v>545</v>
      </c>
      <c r="C31" s="10" t="s">
        <v>622</v>
      </c>
      <c r="D31" s="10" t="n">
        <f aca="false">COUNTIF('22-Leçons'!C:C,A31)</f>
        <v>1</v>
      </c>
    </row>
    <row r="32" customFormat="false" ht="19.5" hidden="false" customHeight="true" outlineLevel="0" collapsed="false">
      <c r="A32" s="7" t="s">
        <v>623</v>
      </c>
      <c r="B32" s="8" t="s">
        <v>545</v>
      </c>
      <c r="C32" s="8" t="s">
        <v>624</v>
      </c>
      <c r="D32" s="8" t="n">
        <f aca="false">COUNTIF('22-Leçons'!C:C,A32)</f>
        <v>2</v>
      </c>
    </row>
    <row r="33" customFormat="false" ht="19.5" hidden="false" customHeight="true" outlineLevel="0" collapsed="false">
      <c r="A33" s="9" t="s">
        <v>625</v>
      </c>
      <c r="B33" s="10" t="s">
        <v>545</v>
      </c>
      <c r="C33" s="10" t="s">
        <v>626</v>
      </c>
      <c r="D33" s="10" t="n">
        <f aca="false">COUNTIF('22-Leçons'!C:C,A33)</f>
        <v>1</v>
      </c>
    </row>
    <row r="34" customFormat="false" ht="19.5" hidden="false" customHeight="true" outlineLevel="0" collapsed="false">
      <c r="A34" s="7" t="s">
        <v>627</v>
      </c>
      <c r="B34" s="8" t="s">
        <v>545</v>
      </c>
      <c r="C34" s="8" t="s">
        <v>628</v>
      </c>
      <c r="D34" s="8" t="n">
        <f aca="false">COUNTIF('22-Leçons'!C:C,A34)</f>
        <v>1</v>
      </c>
    </row>
    <row r="35" customFormat="false" ht="19.5" hidden="false" customHeight="true" outlineLevel="0" collapsed="false">
      <c r="A35" s="9" t="s">
        <v>629</v>
      </c>
      <c r="B35" s="10" t="s">
        <v>545</v>
      </c>
      <c r="C35" s="10" t="s">
        <v>630</v>
      </c>
      <c r="D35" s="10" t="n">
        <f aca="false">COUNTIF('22-Leçons'!C:C,A35)</f>
        <v>1</v>
      </c>
    </row>
    <row r="36" customFormat="false" ht="19.5" hidden="false" customHeight="true" outlineLevel="0" collapsed="false">
      <c r="A36" s="7" t="s">
        <v>631</v>
      </c>
      <c r="B36" s="8" t="s">
        <v>550</v>
      </c>
      <c r="C36" s="8" t="s">
        <v>632</v>
      </c>
      <c r="D36" s="8" t="n">
        <f aca="false">COUNTIF('22-Leçons'!C:C,A36)</f>
        <v>2</v>
      </c>
    </row>
    <row r="37" customFormat="false" ht="19.5" hidden="false" customHeight="true" outlineLevel="0" collapsed="false">
      <c r="A37" s="9" t="s">
        <v>633</v>
      </c>
      <c r="B37" s="10" t="s">
        <v>550</v>
      </c>
      <c r="C37" s="10" t="s">
        <v>634</v>
      </c>
      <c r="D37" s="10" t="n">
        <f aca="false">COUNTIF('22-Leçons'!C:C,A37)</f>
        <v>1</v>
      </c>
    </row>
    <row r="38" customFormat="false" ht="19.5" hidden="false" customHeight="true" outlineLevel="0" collapsed="false">
      <c r="A38" s="7" t="s">
        <v>635</v>
      </c>
      <c r="B38" s="8" t="s">
        <v>550</v>
      </c>
      <c r="C38" s="8" t="s">
        <v>636</v>
      </c>
      <c r="D38" s="8" t="n">
        <f aca="false">COUNTIF('22-Leçons'!C:C,A38)</f>
        <v>2</v>
      </c>
    </row>
    <row r="39" customFormat="false" ht="19.5" hidden="false" customHeight="true" outlineLevel="0" collapsed="false">
      <c r="A39" s="9" t="s">
        <v>637</v>
      </c>
      <c r="B39" s="10" t="s">
        <v>550</v>
      </c>
      <c r="C39" s="10" t="s">
        <v>638</v>
      </c>
      <c r="D39" s="10" t="n">
        <f aca="false">COUNTIF('22-Leçons'!C:C,A39)</f>
        <v>1</v>
      </c>
    </row>
    <row r="40" customFormat="false" ht="19.5" hidden="false" customHeight="true" outlineLevel="0" collapsed="false">
      <c r="A40" s="7" t="s">
        <v>639</v>
      </c>
      <c r="B40" s="8" t="s">
        <v>550</v>
      </c>
      <c r="C40" s="8" t="s">
        <v>640</v>
      </c>
      <c r="D40" s="8" t="n">
        <f aca="false">COUNTIF('22-Leçons'!C:C,A40)</f>
        <v>1</v>
      </c>
    </row>
    <row r="41" customFormat="false" ht="19.5" hidden="false" customHeight="true" outlineLevel="0" collapsed="false">
      <c r="A41" s="9" t="s">
        <v>641</v>
      </c>
      <c r="B41" s="10" t="s">
        <v>555</v>
      </c>
      <c r="C41" s="10" t="s">
        <v>642</v>
      </c>
      <c r="D41" s="10" t="n">
        <f aca="false">COUNTIF('22-Leçons'!C:C,A41)</f>
        <v>3</v>
      </c>
    </row>
    <row r="42" customFormat="false" ht="19.5" hidden="false" customHeight="true" outlineLevel="0" collapsed="false">
      <c r="A42" s="7" t="s">
        <v>643</v>
      </c>
      <c r="B42" s="8" t="s">
        <v>555</v>
      </c>
      <c r="C42" s="8" t="s">
        <v>644</v>
      </c>
      <c r="D42" s="8" t="n">
        <f aca="false">COUNTIF('22-Leçons'!C:C,A42)</f>
        <v>2</v>
      </c>
    </row>
    <row r="43" customFormat="false" ht="19.5" hidden="false" customHeight="true" outlineLevel="0" collapsed="false">
      <c r="A43" s="9" t="s">
        <v>645</v>
      </c>
      <c r="B43" s="10" t="s">
        <v>560</v>
      </c>
      <c r="C43" s="10" t="s">
        <v>646</v>
      </c>
      <c r="D43" s="10" t="n">
        <f aca="false">COUNTIF('22-Leçons'!C:C,A43)</f>
        <v>1</v>
      </c>
    </row>
    <row r="44" customFormat="false" ht="19.5" hidden="false" customHeight="true" outlineLevel="0" collapsed="false">
      <c r="A44" s="7" t="s">
        <v>647</v>
      </c>
      <c r="B44" s="8" t="s">
        <v>560</v>
      </c>
      <c r="C44" s="8" t="s">
        <v>648</v>
      </c>
      <c r="D44" s="8" t="n">
        <f aca="false">COUNTIF('22-Leçons'!C:C,A44)</f>
        <v>1</v>
      </c>
    </row>
    <row r="45" customFormat="false" ht="19.5" hidden="false" customHeight="true" outlineLevel="0" collapsed="false">
      <c r="A45" s="9" t="s">
        <v>649</v>
      </c>
      <c r="B45" s="10" t="s">
        <v>560</v>
      </c>
      <c r="C45" s="10" t="s">
        <v>650</v>
      </c>
      <c r="D45" s="10" t="n">
        <f aca="false">COUNTIF('22-Leçons'!C:C,A45)</f>
        <v>1</v>
      </c>
    </row>
  </sheetData>
  <autoFilter ref="A1:D45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21-Sous-domaines</oddHeader>
    <oddFooter>&amp;RPage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22"/>
    <col collapsed="false" customWidth="true" hidden="false" outlineLevel="0" max="9" min="9" style="0" width="12"/>
    <col collapsed="false" customWidth="true" hidden="false" outlineLevel="0" max="11" min="10" style="0" width="36"/>
    <col collapsed="false" customWidth="true" hidden="false" outlineLevel="0" max="14" min="12" style="0" width="28"/>
    <col collapsed="false" customWidth="true" hidden="false" outlineLevel="0" max="15" min="15" style="0" width="12"/>
  </cols>
  <sheetData>
    <row r="1" customFormat="false" ht="21.75" hidden="false" customHeight="true" outlineLevel="0" collapsed="false">
      <c r="A1" s="6" t="s">
        <v>651</v>
      </c>
      <c r="B1" s="6" t="s">
        <v>493</v>
      </c>
      <c r="C1" s="6" t="s">
        <v>652</v>
      </c>
      <c r="D1" s="6" t="s">
        <v>564</v>
      </c>
      <c r="E1" s="6" t="s">
        <v>653</v>
      </c>
      <c r="F1" s="6" t="s">
        <v>48</v>
      </c>
      <c r="G1" s="6" t="s">
        <v>654</v>
      </c>
      <c r="H1" s="6" t="s">
        <v>655</v>
      </c>
      <c r="I1" s="6" t="s">
        <v>656</v>
      </c>
      <c r="J1" s="6" t="s">
        <v>657</v>
      </c>
      <c r="K1" s="6" t="s">
        <v>658</v>
      </c>
      <c r="L1" s="6" t="s">
        <v>659</v>
      </c>
      <c r="M1" s="6" t="s">
        <v>660</v>
      </c>
      <c r="N1" s="6" t="s">
        <v>661</v>
      </c>
      <c r="O1" s="6" t="s">
        <v>662</v>
      </c>
    </row>
    <row r="2" customFormat="false" ht="39.75" hidden="false" customHeight="true" outlineLevel="0" collapsed="false">
      <c r="A2" s="23" t="s">
        <v>499</v>
      </c>
      <c r="B2" s="24" t="s">
        <v>500</v>
      </c>
      <c r="C2" s="24" t="s">
        <v>565</v>
      </c>
      <c r="D2" s="24" t="s">
        <v>566</v>
      </c>
      <c r="E2" s="23" t="s">
        <v>663</v>
      </c>
      <c r="F2" s="24" t="s">
        <v>664</v>
      </c>
      <c r="G2" s="24" t="s">
        <v>665</v>
      </c>
      <c r="H2" s="24" t="s">
        <v>666</v>
      </c>
      <c r="I2" s="24" t="s">
        <v>667</v>
      </c>
      <c r="J2" s="24" t="s">
        <v>668</v>
      </c>
      <c r="K2" s="24" t="s">
        <v>669</v>
      </c>
      <c r="L2" s="24" t="s">
        <v>670</v>
      </c>
      <c r="M2" s="24" t="s">
        <v>671</v>
      </c>
      <c r="N2" s="24" t="s">
        <v>672</v>
      </c>
      <c r="O2" s="24" t="s">
        <v>666</v>
      </c>
    </row>
    <row r="3" customFormat="false" ht="39.75" hidden="false" customHeight="true" outlineLevel="0" collapsed="false">
      <c r="A3" s="25" t="s">
        <v>499</v>
      </c>
      <c r="B3" s="26" t="s">
        <v>500</v>
      </c>
      <c r="C3" s="26" t="s">
        <v>565</v>
      </c>
      <c r="D3" s="26" t="s">
        <v>566</v>
      </c>
      <c r="E3" s="25" t="s">
        <v>673</v>
      </c>
      <c r="F3" s="26" t="s">
        <v>674</v>
      </c>
      <c r="G3" s="26" t="s">
        <v>675</v>
      </c>
      <c r="H3" s="26" t="s">
        <v>666</v>
      </c>
      <c r="I3" s="26" t="s">
        <v>676</v>
      </c>
      <c r="J3" s="26" t="s">
        <v>677</v>
      </c>
      <c r="K3" s="26" t="s">
        <v>678</v>
      </c>
      <c r="L3" s="26" t="s">
        <v>679</v>
      </c>
      <c r="M3" s="26" t="s">
        <v>680</v>
      </c>
      <c r="N3" s="26" t="s">
        <v>681</v>
      </c>
      <c r="O3" s="26" t="s">
        <v>666</v>
      </c>
    </row>
    <row r="4" customFormat="false" ht="39.75" hidden="false" customHeight="true" outlineLevel="0" collapsed="false">
      <c r="A4" s="27" t="s">
        <v>499</v>
      </c>
      <c r="B4" s="28" t="s">
        <v>500</v>
      </c>
      <c r="C4" s="28" t="s">
        <v>565</v>
      </c>
      <c r="D4" s="28" t="s">
        <v>566</v>
      </c>
      <c r="E4" s="27" t="s">
        <v>682</v>
      </c>
      <c r="F4" s="28" t="s">
        <v>683</v>
      </c>
      <c r="G4" s="28" t="s">
        <v>684</v>
      </c>
      <c r="H4" s="28" t="s">
        <v>666</v>
      </c>
      <c r="I4" s="28" t="s">
        <v>685</v>
      </c>
      <c r="J4" s="28" t="s">
        <v>686</v>
      </c>
      <c r="K4" s="28" t="s">
        <v>687</v>
      </c>
      <c r="L4" s="28" t="s">
        <v>688</v>
      </c>
      <c r="M4" s="28"/>
      <c r="N4" s="28" t="s">
        <v>689</v>
      </c>
      <c r="O4" s="28" t="s">
        <v>666</v>
      </c>
    </row>
    <row r="5" customFormat="false" ht="39.75" hidden="false" customHeight="true" outlineLevel="0" collapsed="false">
      <c r="A5" s="25" t="s">
        <v>499</v>
      </c>
      <c r="B5" s="26" t="s">
        <v>500</v>
      </c>
      <c r="C5" s="26" t="s">
        <v>567</v>
      </c>
      <c r="D5" s="26" t="s">
        <v>568</v>
      </c>
      <c r="E5" s="25" t="s">
        <v>690</v>
      </c>
      <c r="F5" s="26" t="s">
        <v>691</v>
      </c>
      <c r="G5" s="26" t="s">
        <v>692</v>
      </c>
      <c r="H5" s="26" t="s">
        <v>666</v>
      </c>
      <c r="I5" s="26" t="s">
        <v>676</v>
      </c>
      <c r="J5" s="26" t="s">
        <v>693</v>
      </c>
      <c r="K5" s="26" t="s">
        <v>694</v>
      </c>
      <c r="L5" s="26" t="s">
        <v>695</v>
      </c>
      <c r="M5" s="26"/>
      <c r="N5" s="26" t="s">
        <v>696</v>
      </c>
      <c r="O5" s="26" t="s">
        <v>666</v>
      </c>
    </row>
    <row r="6" customFormat="false" ht="39.75" hidden="false" customHeight="true" outlineLevel="0" collapsed="false">
      <c r="A6" s="25" t="s">
        <v>499</v>
      </c>
      <c r="B6" s="26" t="s">
        <v>500</v>
      </c>
      <c r="C6" s="26" t="s">
        <v>567</v>
      </c>
      <c r="D6" s="26" t="s">
        <v>568</v>
      </c>
      <c r="E6" s="25" t="s">
        <v>697</v>
      </c>
      <c r="F6" s="26" t="s">
        <v>698</v>
      </c>
      <c r="G6" s="26" t="s">
        <v>699</v>
      </c>
      <c r="H6" s="26" t="s">
        <v>666</v>
      </c>
      <c r="I6" s="26" t="s">
        <v>676</v>
      </c>
      <c r="J6" s="26" t="s">
        <v>700</v>
      </c>
      <c r="K6" s="26" t="s">
        <v>701</v>
      </c>
      <c r="L6" s="26" t="s">
        <v>702</v>
      </c>
      <c r="M6" s="26"/>
      <c r="N6" s="26" t="s">
        <v>703</v>
      </c>
      <c r="O6" s="26" t="s">
        <v>666</v>
      </c>
    </row>
    <row r="7" customFormat="false" ht="39.75" hidden="false" customHeight="true" outlineLevel="0" collapsed="false">
      <c r="A7" s="27" t="s">
        <v>499</v>
      </c>
      <c r="B7" s="28" t="s">
        <v>500</v>
      </c>
      <c r="C7" s="28" t="s">
        <v>567</v>
      </c>
      <c r="D7" s="28" t="s">
        <v>568</v>
      </c>
      <c r="E7" s="27" t="s">
        <v>704</v>
      </c>
      <c r="F7" s="28" t="s">
        <v>705</v>
      </c>
      <c r="G7" s="28" t="s">
        <v>706</v>
      </c>
      <c r="H7" s="28" t="s">
        <v>666</v>
      </c>
      <c r="I7" s="28" t="s">
        <v>685</v>
      </c>
      <c r="J7" s="28" t="s">
        <v>707</v>
      </c>
      <c r="K7" s="28" t="s">
        <v>708</v>
      </c>
      <c r="L7" s="28"/>
      <c r="M7" s="28"/>
      <c r="N7" s="28" t="s">
        <v>709</v>
      </c>
      <c r="O7" s="28" t="s">
        <v>666</v>
      </c>
    </row>
    <row r="8" customFormat="false" ht="39.75" hidden="false" customHeight="true" outlineLevel="0" collapsed="false">
      <c r="A8" s="25" t="s">
        <v>499</v>
      </c>
      <c r="B8" s="26" t="s">
        <v>500</v>
      </c>
      <c r="C8" s="26" t="s">
        <v>569</v>
      </c>
      <c r="D8" s="26" t="s">
        <v>570</v>
      </c>
      <c r="E8" s="25" t="s">
        <v>710</v>
      </c>
      <c r="F8" s="26" t="s">
        <v>711</v>
      </c>
      <c r="G8" s="26" t="s">
        <v>712</v>
      </c>
      <c r="H8" s="26" t="s">
        <v>666</v>
      </c>
      <c r="I8" s="26" t="s">
        <v>676</v>
      </c>
      <c r="J8" s="26" t="s">
        <v>713</v>
      </c>
      <c r="K8" s="26" t="s">
        <v>714</v>
      </c>
      <c r="L8" s="26" t="s">
        <v>715</v>
      </c>
      <c r="M8" s="26"/>
      <c r="N8" s="26" t="s">
        <v>716</v>
      </c>
      <c r="O8" s="26" t="s">
        <v>666</v>
      </c>
    </row>
    <row r="9" customFormat="false" ht="39.75" hidden="false" customHeight="true" outlineLevel="0" collapsed="false">
      <c r="A9" s="27" t="s">
        <v>499</v>
      </c>
      <c r="B9" s="28" t="s">
        <v>500</v>
      </c>
      <c r="C9" s="28" t="s">
        <v>571</v>
      </c>
      <c r="D9" s="28" t="s">
        <v>572</v>
      </c>
      <c r="E9" s="27" t="s">
        <v>717</v>
      </c>
      <c r="F9" s="28" t="s">
        <v>718</v>
      </c>
      <c r="G9" s="28" t="s">
        <v>719</v>
      </c>
      <c r="H9" s="28" t="s">
        <v>666</v>
      </c>
      <c r="I9" s="28" t="s">
        <v>685</v>
      </c>
      <c r="J9" s="28" t="s">
        <v>720</v>
      </c>
      <c r="K9" s="28" t="s">
        <v>721</v>
      </c>
      <c r="L9" s="28"/>
      <c r="M9" s="28"/>
      <c r="N9" s="28" t="s">
        <v>722</v>
      </c>
      <c r="O9" s="28" t="s">
        <v>666</v>
      </c>
    </row>
    <row r="10" customFormat="false" ht="39.75" hidden="false" customHeight="true" outlineLevel="0" collapsed="false">
      <c r="A10" s="25" t="s">
        <v>499</v>
      </c>
      <c r="B10" s="26" t="s">
        <v>500</v>
      </c>
      <c r="C10" s="26" t="s">
        <v>573</v>
      </c>
      <c r="D10" s="26" t="s">
        <v>574</v>
      </c>
      <c r="E10" s="25" t="s">
        <v>723</v>
      </c>
      <c r="F10" s="26" t="s">
        <v>724</v>
      </c>
      <c r="G10" s="26" t="s">
        <v>725</v>
      </c>
      <c r="H10" s="26" t="s">
        <v>666</v>
      </c>
      <c r="I10" s="26" t="s">
        <v>676</v>
      </c>
      <c r="J10" s="26" t="s">
        <v>726</v>
      </c>
      <c r="K10" s="26" t="s">
        <v>727</v>
      </c>
      <c r="L10" s="26" t="s">
        <v>728</v>
      </c>
      <c r="M10" s="26" t="s">
        <v>729</v>
      </c>
      <c r="N10" s="26" t="s">
        <v>730</v>
      </c>
      <c r="O10" s="26" t="s">
        <v>666</v>
      </c>
    </row>
    <row r="11" customFormat="false" ht="39.75" hidden="false" customHeight="true" outlineLevel="0" collapsed="false">
      <c r="A11" s="23" t="s">
        <v>504</v>
      </c>
      <c r="B11" s="24" t="s">
        <v>505</v>
      </c>
      <c r="C11" s="24" t="s">
        <v>575</v>
      </c>
      <c r="D11" s="24" t="s">
        <v>576</v>
      </c>
      <c r="E11" s="23" t="s">
        <v>731</v>
      </c>
      <c r="F11" s="24" t="s">
        <v>732</v>
      </c>
      <c r="G11" s="24" t="s">
        <v>733</v>
      </c>
      <c r="H11" s="24" t="s">
        <v>734</v>
      </c>
      <c r="I11" s="24" t="s">
        <v>667</v>
      </c>
      <c r="J11" s="24" t="s">
        <v>735</v>
      </c>
      <c r="K11" s="24" t="s">
        <v>736</v>
      </c>
      <c r="L11" s="24" t="s">
        <v>737</v>
      </c>
      <c r="M11" s="24" t="s">
        <v>738</v>
      </c>
      <c r="N11" s="24" t="s">
        <v>739</v>
      </c>
      <c r="O11" s="24" t="s">
        <v>740</v>
      </c>
    </row>
    <row r="12" customFormat="false" ht="39.75" hidden="false" customHeight="true" outlineLevel="0" collapsed="false">
      <c r="A12" s="23" t="s">
        <v>504</v>
      </c>
      <c r="B12" s="24" t="s">
        <v>505</v>
      </c>
      <c r="C12" s="24" t="s">
        <v>575</v>
      </c>
      <c r="D12" s="24" t="s">
        <v>576</v>
      </c>
      <c r="E12" s="23" t="s">
        <v>741</v>
      </c>
      <c r="F12" s="24" t="s">
        <v>742</v>
      </c>
      <c r="G12" s="24" t="s">
        <v>743</v>
      </c>
      <c r="H12" s="24" t="s">
        <v>734</v>
      </c>
      <c r="I12" s="24" t="s">
        <v>667</v>
      </c>
      <c r="J12" s="24" t="s">
        <v>744</v>
      </c>
      <c r="K12" s="24" t="s">
        <v>745</v>
      </c>
      <c r="L12" s="24" t="s">
        <v>746</v>
      </c>
      <c r="M12" s="24" t="s">
        <v>747</v>
      </c>
      <c r="N12" s="24" t="s">
        <v>748</v>
      </c>
      <c r="O12" s="24" t="s">
        <v>740</v>
      </c>
    </row>
    <row r="13" customFormat="false" ht="39.75" hidden="false" customHeight="true" outlineLevel="0" collapsed="false">
      <c r="A13" s="25" t="s">
        <v>504</v>
      </c>
      <c r="B13" s="26" t="s">
        <v>505</v>
      </c>
      <c r="C13" s="26" t="s">
        <v>575</v>
      </c>
      <c r="D13" s="26" t="s">
        <v>576</v>
      </c>
      <c r="E13" s="25" t="s">
        <v>749</v>
      </c>
      <c r="F13" s="26" t="s">
        <v>750</v>
      </c>
      <c r="G13" s="26" t="s">
        <v>751</v>
      </c>
      <c r="H13" s="26" t="s">
        <v>734</v>
      </c>
      <c r="I13" s="26" t="s">
        <v>676</v>
      </c>
      <c r="J13" s="26" t="s">
        <v>752</v>
      </c>
      <c r="K13" s="26" t="s">
        <v>753</v>
      </c>
      <c r="L13" s="26" t="s">
        <v>754</v>
      </c>
      <c r="M13" s="26"/>
      <c r="N13" s="26" t="s">
        <v>755</v>
      </c>
      <c r="O13" s="26" t="s">
        <v>740</v>
      </c>
    </row>
    <row r="14" customFormat="false" ht="39.75" hidden="false" customHeight="true" outlineLevel="0" collapsed="false">
      <c r="A14" s="25" t="s">
        <v>504</v>
      </c>
      <c r="B14" s="26" t="s">
        <v>505</v>
      </c>
      <c r="C14" s="26" t="s">
        <v>577</v>
      </c>
      <c r="D14" s="26" t="s">
        <v>533</v>
      </c>
      <c r="E14" s="25" t="s">
        <v>756</v>
      </c>
      <c r="F14" s="26" t="s">
        <v>757</v>
      </c>
      <c r="G14" s="26" t="s">
        <v>758</v>
      </c>
      <c r="H14" s="26" t="s">
        <v>734</v>
      </c>
      <c r="I14" s="26" t="s">
        <v>676</v>
      </c>
      <c r="J14" s="26" t="s">
        <v>759</v>
      </c>
      <c r="K14" s="26" t="s">
        <v>760</v>
      </c>
      <c r="L14" s="26"/>
      <c r="M14" s="26" t="s">
        <v>761</v>
      </c>
      <c r="N14" s="26" t="s">
        <v>762</v>
      </c>
      <c r="O14" s="26" t="s">
        <v>740</v>
      </c>
    </row>
    <row r="15" customFormat="false" ht="39.75" hidden="false" customHeight="true" outlineLevel="0" collapsed="false">
      <c r="A15" s="25" t="s">
        <v>504</v>
      </c>
      <c r="B15" s="26" t="s">
        <v>505</v>
      </c>
      <c r="C15" s="26" t="s">
        <v>577</v>
      </c>
      <c r="D15" s="26" t="s">
        <v>533</v>
      </c>
      <c r="E15" s="25" t="s">
        <v>763</v>
      </c>
      <c r="F15" s="26" t="s">
        <v>764</v>
      </c>
      <c r="G15" s="26" t="s">
        <v>765</v>
      </c>
      <c r="H15" s="26" t="s">
        <v>734</v>
      </c>
      <c r="I15" s="26" t="s">
        <v>676</v>
      </c>
      <c r="J15" s="26" t="s">
        <v>766</v>
      </c>
      <c r="K15" s="26" t="s">
        <v>767</v>
      </c>
      <c r="L15" s="26"/>
      <c r="M15" s="26" t="s">
        <v>768</v>
      </c>
      <c r="N15" s="26" t="s">
        <v>769</v>
      </c>
      <c r="O15" s="26" t="s">
        <v>740</v>
      </c>
    </row>
    <row r="16" customFormat="false" ht="39.75" hidden="false" customHeight="true" outlineLevel="0" collapsed="false">
      <c r="A16" s="25" t="s">
        <v>504</v>
      </c>
      <c r="B16" s="26" t="s">
        <v>505</v>
      </c>
      <c r="C16" s="26" t="s">
        <v>577</v>
      </c>
      <c r="D16" s="26" t="s">
        <v>533</v>
      </c>
      <c r="E16" s="25" t="s">
        <v>770</v>
      </c>
      <c r="F16" s="26" t="s">
        <v>771</v>
      </c>
      <c r="G16" s="26" t="s">
        <v>772</v>
      </c>
      <c r="H16" s="26" t="s">
        <v>734</v>
      </c>
      <c r="I16" s="26" t="s">
        <v>676</v>
      </c>
      <c r="J16" s="26" t="s">
        <v>773</v>
      </c>
      <c r="K16" s="26" t="s">
        <v>774</v>
      </c>
      <c r="L16" s="26"/>
      <c r="M16" s="26" t="s">
        <v>775</v>
      </c>
      <c r="N16" s="26" t="s">
        <v>776</v>
      </c>
      <c r="O16" s="26" t="s">
        <v>740</v>
      </c>
    </row>
    <row r="17" customFormat="false" ht="39.75" hidden="false" customHeight="true" outlineLevel="0" collapsed="false">
      <c r="A17" s="23" t="s">
        <v>504</v>
      </c>
      <c r="B17" s="24" t="s">
        <v>505</v>
      </c>
      <c r="C17" s="24" t="s">
        <v>578</v>
      </c>
      <c r="D17" s="24" t="s">
        <v>579</v>
      </c>
      <c r="E17" s="23" t="s">
        <v>777</v>
      </c>
      <c r="F17" s="24" t="s">
        <v>778</v>
      </c>
      <c r="G17" s="24" t="s">
        <v>779</v>
      </c>
      <c r="H17" s="24" t="s">
        <v>666</v>
      </c>
      <c r="I17" s="24" t="s">
        <v>667</v>
      </c>
      <c r="J17" s="24" t="s">
        <v>780</v>
      </c>
      <c r="K17" s="24" t="s">
        <v>781</v>
      </c>
      <c r="L17" s="24" t="s">
        <v>782</v>
      </c>
      <c r="M17" s="24"/>
      <c r="N17" s="24" t="s">
        <v>783</v>
      </c>
      <c r="O17" s="24" t="s">
        <v>666</v>
      </c>
    </row>
    <row r="18" customFormat="false" ht="39.75" hidden="false" customHeight="true" outlineLevel="0" collapsed="false">
      <c r="A18" s="25" t="s">
        <v>504</v>
      </c>
      <c r="B18" s="26" t="s">
        <v>505</v>
      </c>
      <c r="C18" s="26" t="s">
        <v>580</v>
      </c>
      <c r="D18" s="26" t="s">
        <v>581</v>
      </c>
      <c r="E18" s="25" t="s">
        <v>784</v>
      </c>
      <c r="F18" s="26" t="s">
        <v>785</v>
      </c>
      <c r="G18" s="26" t="s">
        <v>786</v>
      </c>
      <c r="H18" s="26" t="s">
        <v>734</v>
      </c>
      <c r="I18" s="26" t="s">
        <v>676</v>
      </c>
      <c r="J18" s="26" t="s">
        <v>787</v>
      </c>
      <c r="K18" s="26" t="s">
        <v>788</v>
      </c>
      <c r="L18" s="26" t="s">
        <v>789</v>
      </c>
      <c r="M18" s="26" t="s">
        <v>790</v>
      </c>
      <c r="N18" s="26" t="s">
        <v>791</v>
      </c>
      <c r="O18" s="26" t="s">
        <v>740</v>
      </c>
    </row>
    <row r="19" customFormat="false" ht="39.75" hidden="false" customHeight="true" outlineLevel="0" collapsed="false">
      <c r="A19" s="25" t="s">
        <v>504</v>
      </c>
      <c r="B19" s="26" t="s">
        <v>505</v>
      </c>
      <c r="C19" s="26" t="s">
        <v>580</v>
      </c>
      <c r="D19" s="26" t="s">
        <v>581</v>
      </c>
      <c r="E19" s="25" t="s">
        <v>792</v>
      </c>
      <c r="F19" s="26" t="s">
        <v>793</v>
      </c>
      <c r="G19" s="26" t="s">
        <v>794</v>
      </c>
      <c r="H19" s="26" t="s">
        <v>734</v>
      </c>
      <c r="I19" s="26" t="s">
        <v>676</v>
      </c>
      <c r="J19" s="26" t="s">
        <v>795</v>
      </c>
      <c r="K19" s="26" t="s">
        <v>796</v>
      </c>
      <c r="L19" s="26"/>
      <c r="M19" s="26"/>
      <c r="N19" s="26" t="s">
        <v>797</v>
      </c>
      <c r="O19" s="26" t="s">
        <v>740</v>
      </c>
    </row>
    <row r="20" customFormat="false" ht="39.75" hidden="false" customHeight="true" outlineLevel="0" collapsed="false">
      <c r="A20" s="25" t="s">
        <v>509</v>
      </c>
      <c r="B20" s="26" t="s">
        <v>510</v>
      </c>
      <c r="C20" s="26" t="s">
        <v>582</v>
      </c>
      <c r="D20" s="26" t="s">
        <v>583</v>
      </c>
      <c r="E20" s="25" t="s">
        <v>798</v>
      </c>
      <c r="F20" s="26" t="s">
        <v>799</v>
      </c>
      <c r="G20" s="26" t="s">
        <v>800</v>
      </c>
      <c r="H20" s="26" t="s">
        <v>801</v>
      </c>
      <c r="I20" s="26" t="s">
        <v>676</v>
      </c>
      <c r="J20" s="26" t="s">
        <v>802</v>
      </c>
      <c r="K20" s="26" t="s">
        <v>803</v>
      </c>
      <c r="L20" s="26" t="s">
        <v>804</v>
      </c>
      <c r="M20" s="26"/>
      <c r="N20" s="26" t="s">
        <v>805</v>
      </c>
      <c r="O20" s="26" t="s">
        <v>666</v>
      </c>
    </row>
    <row r="21" customFormat="false" ht="39.75" hidden="false" customHeight="true" outlineLevel="0" collapsed="false">
      <c r="A21" s="25" t="s">
        <v>509</v>
      </c>
      <c r="B21" s="26" t="s">
        <v>510</v>
      </c>
      <c r="C21" s="26" t="s">
        <v>582</v>
      </c>
      <c r="D21" s="26" t="s">
        <v>583</v>
      </c>
      <c r="E21" s="25" t="s">
        <v>806</v>
      </c>
      <c r="F21" s="26" t="s">
        <v>807</v>
      </c>
      <c r="G21" s="26" t="s">
        <v>808</v>
      </c>
      <c r="H21" s="26" t="s">
        <v>801</v>
      </c>
      <c r="I21" s="26" t="s">
        <v>676</v>
      </c>
      <c r="J21" s="26" t="s">
        <v>809</v>
      </c>
      <c r="K21" s="26" t="s">
        <v>810</v>
      </c>
      <c r="L21" s="26" t="s">
        <v>811</v>
      </c>
      <c r="M21" s="26" t="s">
        <v>812</v>
      </c>
      <c r="N21" s="26" t="s">
        <v>813</v>
      </c>
      <c r="O21" s="26" t="s">
        <v>666</v>
      </c>
    </row>
    <row r="22" customFormat="false" ht="39.75" hidden="false" customHeight="true" outlineLevel="0" collapsed="false">
      <c r="A22" s="25" t="s">
        <v>509</v>
      </c>
      <c r="B22" s="26" t="s">
        <v>510</v>
      </c>
      <c r="C22" s="26" t="s">
        <v>582</v>
      </c>
      <c r="D22" s="26" t="s">
        <v>583</v>
      </c>
      <c r="E22" s="25" t="s">
        <v>814</v>
      </c>
      <c r="F22" s="26" t="s">
        <v>815</v>
      </c>
      <c r="G22" s="26" t="s">
        <v>816</v>
      </c>
      <c r="H22" s="26" t="s">
        <v>801</v>
      </c>
      <c r="I22" s="26" t="s">
        <v>676</v>
      </c>
      <c r="J22" s="26" t="s">
        <v>817</v>
      </c>
      <c r="K22" s="26" t="s">
        <v>818</v>
      </c>
      <c r="L22" s="26" t="s">
        <v>819</v>
      </c>
      <c r="M22" s="26"/>
      <c r="N22" s="26" t="s">
        <v>820</v>
      </c>
      <c r="O22" s="26" t="s">
        <v>666</v>
      </c>
    </row>
    <row r="23" customFormat="false" ht="39.75" hidden="false" customHeight="true" outlineLevel="0" collapsed="false">
      <c r="A23" s="27" t="s">
        <v>509</v>
      </c>
      <c r="B23" s="28" t="s">
        <v>510</v>
      </c>
      <c r="C23" s="28" t="s">
        <v>582</v>
      </c>
      <c r="D23" s="28" t="s">
        <v>583</v>
      </c>
      <c r="E23" s="27" t="s">
        <v>821</v>
      </c>
      <c r="F23" s="28" t="s">
        <v>822</v>
      </c>
      <c r="G23" s="28" t="s">
        <v>823</v>
      </c>
      <c r="H23" s="28" t="s">
        <v>801</v>
      </c>
      <c r="I23" s="28" t="s">
        <v>685</v>
      </c>
      <c r="J23" s="28" t="s">
        <v>824</v>
      </c>
      <c r="K23" s="28" t="s">
        <v>825</v>
      </c>
      <c r="L23" s="28"/>
      <c r="M23" s="28"/>
      <c r="N23" s="28" t="s">
        <v>826</v>
      </c>
      <c r="O23" s="28" t="s">
        <v>666</v>
      </c>
    </row>
    <row r="24" customFormat="false" ht="39.75" hidden="false" customHeight="true" outlineLevel="0" collapsed="false">
      <c r="A24" s="23" t="s">
        <v>509</v>
      </c>
      <c r="B24" s="24" t="s">
        <v>510</v>
      </c>
      <c r="C24" s="24" t="s">
        <v>582</v>
      </c>
      <c r="D24" s="24" t="s">
        <v>583</v>
      </c>
      <c r="E24" s="23" t="s">
        <v>827</v>
      </c>
      <c r="F24" s="24" t="s">
        <v>828</v>
      </c>
      <c r="G24" s="24" t="s">
        <v>829</v>
      </c>
      <c r="H24" s="24" t="s">
        <v>801</v>
      </c>
      <c r="I24" s="24" t="s">
        <v>667</v>
      </c>
      <c r="J24" s="24" t="s">
        <v>830</v>
      </c>
      <c r="K24" s="24" t="s">
        <v>831</v>
      </c>
      <c r="L24" s="24" t="s">
        <v>832</v>
      </c>
      <c r="M24" s="24" t="s">
        <v>833</v>
      </c>
      <c r="N24" s="24" t="s">
        <v>834</v>
      </c>
      <c r="O24" s="24" t="s">
        <v>666</v>
      </c>
    </row>
    <row r="25" customFormat="false" ht="39.75" hidden="false" customHeight="true" outlineLevel="0" collapsed="false">
      <c r="A25" s="25" t="s">
        <v>509</v>
      </c>
      <c r="B25" s="26" t="s">
        <v>510</v>
      </c>
      <c r="C25" s="26" t="s">
        <v>582</v>
      </c>
      <c r="D25" s="26" t="s">
        <v>583</v>
      </c>
      <c r="E25" s="25" t="s">
        <v>835</v>
      </c>
      <c r="F25" s="26" t="s">
        <v>836</v>
      </c>
      <c r="G25" s="26" t="s">
        <v>837</v>
      </c>
      <c r="H25" s="26" t="s">
        <v>801</v>
      </c>
      <c r="I25" s="26" t="s">
        <v>676</v>
      </c>
      <c r="J25" s="26" t="s">
        <v>838</v>
      </c>
      <c r="K25" s="26" t="s">
        <v>839</v>
      </c>
      <c r="L25" s="26"/>
      <c r="M25" s="26"/>
      <c r="N25" s="26" t="s">
        <v>840</v>
      </c>
      <c r="O25" s="26" t="s">
        <v>666</v>
      </c>
    </row>
    <row r="26" customFormat="false" ht="39.75" hidden="false" customHeight="true" outlineLevel="0" collapsed="false">
      <c r="A26" s="27" t="s">
        <v>509</v>
      </c>
      <c r="B26" s="28" t="s">
        <v>510</v>
      </c>
      <c r="C26" s="28" t="s">
        <v>582</v>
      </c>
      <c r="D26" s="28" t="s">
        <v>583</v>
      </c>
      <c r="E26" s="27" t="s">
        <v>841</v>
      </c>
      <c r="F26" s="28" t="s">
        <v>842</v>
      </c>
      <c r="G26" s="28" t="s">
        <v>843</v>
      </c>
      <c r="H26" s="28" t="s">
        <v>801</v>
      </c>
      <c r="I26" s="28" t="s">
        <v>685</v>
      </c>
      <c r="J26" s="28" t="s">
        <v>844</v>
      </c>
      <c r="K26" s="28" t="s">
        <v>845</v>
      </c>
      <c r="L26" s="28" t="s">
        <v>846</v>
      </c>
      <c r="M26" s="28" t="s">
        <v>847</v>
      </c>
      <c r="N26" s="28" t="s">
        <v>848</v>
      </c>
      <c r="O26" s="28" t="s">
        <v>666</v>
      </c>
    </row>
    <row r="27" customFormat="false" ht="39.75" hidden="false" customHeight="true" outlineLevel="0" collapsed="false">
      <c r="A27" s="27" t="s">
        <v>509</v>
      </c>
      <c r="B27" s="28" t="s">
        <v>510</v>
      </c>
      <c r="C27" s="28" t="s">
        <v>582</v>
      </c>
      <c r="D27" s="28" t="s">
        <v>583</v>
      </c>
      <c r="E27" s="27" t="s">
        <v>849</v>
      </c>
      <c r="F27" s="28" t="s">
        <v>850</v>
      </c>
      <c r="G27" s="28" t="s">
        <v>851</v>
      </c>
      <c r="H27" s="28" t="s">
        <v>801</v>
      </c>
      <c r="I27" s="28" t="s">
        <v>685</v>
      </c>
      <c r="J27" s="28" t="s">
        <v>852</v>
      </c>
      <c r="K27" s="28" t="s">
        <v>853</v>
      </c>
      <c r="L27" s="28" t="s">
        <v>854</v>
      </c>
      <c r="M27" s="28"/>
      <c r="N27" s="28" t="s">
        <v>855</v>
      </c>
      <c r="O27" s="28" t="s">
        <v>666</v>
      </c>
    </row>
    <row r="28" customFormat="false" ht="39.75" hidden="false" customHeight="true" outlineLevel="0" collapsed="false">
      <c r="A28" s="25" t="s">
        <v>509</v>
      </c>
      <c r="B28" s="26" t="s">
        <v>510</v>
      </c>
      <c r="C28" s="26" t="s">
        <v>582</v>
      </c>
      <c r="D28" s="26" t="s">
        <v>583</v>
      </c>
      <c r="E28" s="25" t="s">
        <v>856</v>
      </c>
      <c r="F28" s="26" t="s">
        <v>857</v>
      </c>
      <c r="G28" s="26" t="s">
        <v>858</v>
      </c>
      <c r="H28" s="26" t="s">
        <v>801</v>
      </c>
      <c r="I28" s="26" t="s">
        <v>676</v>
      </c>
      <c r="J28" s="26" t="s">
        <v>859</v>
      </c>
      <c r="K28" s="26" t="s">
        <v>860</v>
      </c>
      <c r="L28" s="26" t="s">
        <v>861</v>
      </c>
      <c r="M28" s="26"/>
      <c r="N28" s="26" t="s">
        <v>862</v>
      </c>
      <c r="O28" s="26" t="s">
        <v>666</v>
      </c>
    </row>
    <row r="29" customFormat="false" ht="39.75" hidden="false" customHeight="true" outlineLevel="0" collapsed="false">
      <c r="A29" s="27" t="s">
        <v>509</v>
      </c>
      <c r="B29" s="28" t="s">
        <v>510</v>
      </c>
      <c r="C29" s="28" t="s">
        <v>582</v>
      </c>
      <c r="D29" s="28" t="s">
        <v>583</v>
      </c>
      <c r="E29" s="27" t="s">
        <v>863</v>
      </c>
      <c r="F29" s="28" t="s">
        <v>864</v>
      </c>
      <c r="G29" s="28" t="s">
        <v>865</v>
      </c>
      <c r="H29" s="28" t="s">
        <v>801</v>
      </c>
      <c r="I29" s="28" t="s">
        <v>685</v>
      </c>
      <c r="J29" s="28" t="s">
        <v>866</v>
      </c>
      <c r="K29" s="28" t="s">
        <v>867</v>
      </c>
      <c r="L29" s="28" t="s">
        <v>868</v>
      </c>
      <c r="M29" s="28"/>
      <c r="N29" s="28" t="s">
        <v>869</v>
      </c>
      <c r="O29" s="28" t="s">
        <v>666</v>
      </c>
    </row>
    <row r="30" customFormat="false" ht="39.75" hidden="false" customHeight="true" outlineLevel="0" collapsed="false">
      <c r="A30" s="23" t="s">
        <v>509</v>
      </c>
      <c r="B30" s="24" t="s">
        <v>510</v>
      </c>
      <c r="C30" s="24" t="s">
        <v>584</v>
      </c>
      <c r="D30" s="24" t="s">
        <v>585</v>
      </c>
      <c r="E30" s="23" t="s">
        <v>870</v>
      </c>
      <c r="F30" s="24" t="s">
        <v>871</v>
      </c>
      <c r="G30" s="24" t="s">
        <v>872</v>
      </c>
      <c r="H30" s="24" t="s">
        <v>801</v>
      </c>
      <c r="I30" s="24" t="s">
        <v>667</v>
      </c>
      <c r="J30" s="24" t="s">
        <v>873</v>
      </c>
      <c r="K30" s="24" t="s">
        <v>874</v>
      </c>
      <c r="L30" s="24" t="s">
        <v>875</v>
      </c>
      <c r="M30" s="24"/>
      <c r="N30" s="24" t="s">
        <v>876</v>
      </c>
      <c r="O30" s="24" t="s">
        <v>666</v>
      </c>
    </row>
    <row r="31" customFormat="false" ht="39.75" hidden="false" customHeight="true" outlineLevel="0" collapsed="false">
      <c r="A31" s="25" t="s">
        <v>509</v>
      </c>
      <c r="B31" s="26" t="s">
        <v>510</v>
      </c>
      <c r="C31" s="26" t="s">
        <v>584</v>
      </c>
      <c r="D31" s="26" t="s">
        <v>585</v>
      </c>
      <c r="E31" s="25" t="s">
        <v>877</v>
      </c>
      <c r="F31" s="26" t="s">
        <v>878</v>
      </c>
      <c r="G31" s="26" t="s">
        <v>879</v>
      </c>
      <c r="H31" s="26" t="s">
        <v>801</v>
      </c>
      <c r="I31" s="26" t="s">
        <v>676</v>
      </c>
      <c r="J31" s="26" t="s">
        <v>880</v>
      </c>
      <c r="K31" s="26" t="s">
        <v>881</v>
      </c>
      <c r="L31" s="26"/>
      <c r="M31" s="26"/>
      <c r="N31" s="26" t="s">
        <v>882</v>
      </c>
      <c r="O31" s="26" t="s">
        <v>666</v>
      </c>
    </row>
    <row r="32" customFormat="false" ht="39.75" hidden="false" customHeight="true" outlineLevel="0" collapsed="false">
      <c r="A32" s="23" t="s">
        <v>514</v>
      </c>
      <c r="B32" s="24" t="s">
        <v>515</v>
      </c>
      <c r="C32" s="24" t="s">
        <v>586</v>
      </c>
      <c r="D32" s="24" t="s">
        <v>587</v>
      </c>
      <c r="E32" s="23" t="s">
        <v>883</v>
      </c>
      <c r="F32" s="24" t="s">
        <v>884</v>
      </c>
      <c r="G32" s="24" t="s">
        <v>885</v>
      </c>
      <c r="H32" s="24" t="s">
        <v>666</v>
      </c>
      <c r="I32" s="24" t="s">
        <v>667</v>
      </c>
      <c r="J32" s="24" t="s">
        <v>886</v>
      </c>
      <c r="K32" s="24" t="s">
        <v>887</v>
      </c>
      <c r="L32" s="24" t="s">
        <v>888</v>
      </c>
      <c r="M32" s="24"/>
      <c r="N32" s="24" t="s">
        <v>889</v>
      </c>
      <c r="O32" s="24" t="s">
        <v>666</v>
      </c>
    </row>
    <row r="33" customFormat="false" ht="39.75" hidden="false" customHeight="true" outlineLevel="0" collapsed="false">
      <c r="A33" s="25" t="s">
        <v>514</v>
      </c>
      <c r="B33" s="26" t="s">
        <v>515</v>
      </c>
      <c r="C33" s="26" t="s">
        <v>586</v>
      </c>
      <c r="D33" s="26" t="s">
        <v>587</v>
      </c>
      <c r="E33" s="25" t="s">
        <v>890</v>
      </c>
      <c r="F33" s="26" t="s">
        <v>891</v>
      </c>
      <c r="G33" s="26" t="s">
        <v>892</v>
      </c>
      <c r="H33" s="26" t="s">
        <v>666</v>
      </c>
      <c r="I33" s="26" t="s">
        <v>676</v>
      </c>
      <c r="J33" s="26" t="s">
        <v>893</v>
      </c>
      <c r="K33" s="26" t="s">
        <v>894</v>
      </c>
      <c r="L33" s="26"/>
      <c r="M33" s="26"/>
      <c r="N33" s="26" t="s">
        <v>895</v>
      </c>
      <c r="O33" s="26" t="s">
        <v>666</v>
      </c>
    </row>
    <row r="34" customFormat="false" ht="39.75" hidden="false" customHeight="true" outlineLevel="0" collapsed="false">
      <c r="A34" s="23" t="s">
        <v>514</v>
      </c>
      <c r="B34" s="24" t="s">
        <v>515</v>
      </c>
      <c r="C34" s="24" t="s">
        <v>588</v>
      </c>
      <c r="D34" s="24" t="s">
        <v>589</v>
      </c>
      <c r="E34" s="23" t="s">
        <v>896</v>
      </c>
      <c r="F34" s="24" t="s">
        <v>897</v>
      </c>
      <c r="G34" s="24" t="s">
        <v>898</v>
      </c>
      <c r="H34" s="24" t="s">
        <v>666</v>
      </c>
      <c r="I34" s="24" t="s">
        <v>667</v>
      </c>
      <c r="J34" s="24" t="s">
        <v>899</v>
      </c>
      <c r="K34" s="24" t="s">
        <v>900</v>
      </c>
      <c r="L34" s="24" t="s">
        <v>901</v>
      </c>
      <c r="M34" s="24" t="s">
        <v>902</v>
      </c>
      <c r="N34" s="24" t="s">
        <v>903</v>
      </c>
      <c r="O34" s="24" t="s">
        <v>666</v>
      </c>
    </row>
    <row r="35" customFormat="false" ht="39.75" hidden="false" customHeight="true" outlineLevel="0" collapsed="false">
      <c r="A35" s="25" t="s">
        <v>514</v>
      </c>
      <c r="B35" s="26" t="s">
        <v>515</v>
      </c>
      <c r="C35" s="26" t="s">
        <v>588</v>
      </c>
      <c r="D35" s="26" t="s">
        <v>589</v>
      </c>
      <c r="E35" s="25" t="s">
        <v>904</v>
      </c>
      <c r="F35" s="26" t="s">
        <v>905</v>
      </c>
      <c r="G35" s="26" t="s">
        <v>906</v>
      </c>
      <c r="H35" s="26" t="s">
        <v>666</v>
      </c>
      <c r="I35" s="26" t="s">
        <v>676</v>
      </c>
      <c r="J35" s="26" t="s">
        <v>907</v>
      </c>
      <c r="K35" s="26" t="s">
        <v>908</v>
      </c>
      <c r="L35" s="26" t="s">
        <v>909</v>
      </c>
      <c r="M35" s="26" t="s">
        <v>910</v>
      </c>
      <c r="N35" s="26" t="s">
        <v>911</v>
      </c>
      <c r="O35" s="26" t="s">
        <v>666</v>
      </c>
    </row>
    <row r="36" customFormat="false" ht="39.75" hidden="false" customHeight="true" outlineLevel="0" collapsed="false">
      <c r="A36" s="25" t="s">
        <v>514</v>
      </c>
      <c r="B36" s="26" t="s">
        <v>515</v>
      </c>
      <c r="C36" s="26" t="s">
        <v>588</v>
      </c>
      <c r="D36" s="26" t="s">
        <v>589</v>
      </c>
      <c r="E36" s="25" t="s">
        <v>912</v>
      </c>
      <c r="F36" s="26" t="s">
        <v>913</v>
      </c>
      <c r="G36" s="26" t="s">
        <v>914</v>
      </c>
      <c r="H36" s="26" t="s">
        <v>666</v>
      </c>
      <c r="I36" s="26" t="s">
        <v>676</v>
      </c>
      <c r="J36" s="26" t="s">
        <v>915</v>
      </c>
      <c r="K36" s="26" t="s">
        <v>916</v>
      </c>
      <c r="L36" s="26" t="s">
        <v>917</v>
      </c>
      <c r="M36" s="26" t="s">
        <v>918</v>
      </c>
      <c r="N36" s="26" t="s">
        <v>919</v>
      </c>
      <c r="O36" s="26" t="s">
        <v>666</v>
      </c>
    </row>
    <row r="37" customFormat="false" ht="39.75" hidden="false" customHeight="true" outlineLevel="0" collapsed="false">
      <c r="A37" s="25" t="s">
        <v>514</v>
      </c>
      <c r="B37" s="26" t="s">
        <v>515</v>
      </c>
      <c r="C37" s="26" t="s">
        <v>590</v>
      </c>
      <c r="D37" s="26" t="s">
        <v>591</v>
      </c>
      <c r="E37" s="25" t="s">
        <v>920</v>
      </c>
      <c r="F37" s="26" t="s">
        <v>921</v>
      </c>
      <c r="G37" s="26" t="s">
        <v>922</v>
      </c>
      <c r="H37" s="26" t="s">
        <v>666</v>
      </c>
      <c r="I37" s="26" t="s">
        <v>676</v>
      </c>
      <c r="J37" s="26" t="s">
        <v>923</v>
      </c>
      <c r="K37" s="26" t="s">
        <v>924</v>
      </c>
      <c r="L37" s="26" t="s">
        <v>925</v>
      </c>
      <c r="M37" s="26"/>
      <c r="N37" s="26" t="s">
        <v>926</v>
      </c>
      <c r="O37" s="26" t="s">
        <v>666</v>
      </c>
    </row>
    <row r="38" customFormat="false" ht="39.75" hidden="false" customHeight="true" outlineLevel="0" collapsed="false">
      <c r="A38" s="23" t="s">
        <v>514</v>
      </c>
      <c r="B38" s="24" t="s">
        <v>515</v>
      </c>
      <c r="C38" s="24" t="s">
        <v>592</v>
      </c>
      <c r="D38" s="24" t="s">
        <v>593</v>
      </c>
      <c r="E38" s="23" t="s">
        <v>927</v>
      </c>
      <c r="F38" s="24" t="s">
        <v>928</v>
      </c>
      <c r="G38" s="24" t="s">
        <v>929</v>
      </c>
      <c r="H38" s="24" t="s">
        <v>930</v>
      </c>
      <c r="I38" s="24" t="s">
        <v>667</v>
      </c>
      <c r="J38" s="24" t="s">
        <v>931</v>
      </c>
      <c r="K38" s="24" t="s">
        <v>932</v>
      </c>
      <c r="L38" s="24" t="s">
        <v>933</v>
      </c>
      <c r="M38" s="24" t="s">
        <v>934</v>
      </c>
      <c r="N38" s="24" t="s">
        <v>935</v>
      </c>
      <c r="O38" s="24" t="s">
        <v>666</v>
      </c>
    </row>
    <row r="39" customFormat="false" ht="39.75" hidden="false" customHeight="true" outlineLevel="0" collapsed="false">
      <c r="A39" s="23" t="s">
        <v>514</v>
      </c>
      <c r="B39" s="24" t="s">
        <v>515</v>
      </c>
      <c r="C39" s="24" t="s">
        <v>592</v>
      </c>
      <c r="D39" s="24" t="s">
        <v>593</v>
      </c>
      <c r="E39" s="23" t="s">
        <v>936</v>
      </c>
      <c r="F39" s="24" t="s">
        <v>937</v>
      </c>
      <c r="G39" s="24" t="s">
        <v>938</v>
      </c>
      <c r="H39" s="24" t="s">
        <v>930</v>
      </c>
      <c r="I39" s="24" t="s">
        <v>667</v>
      </c>
      <c r="J39" s="24" t="s">
        <v>939</v>
      </c>
      <c r="K39" s="24" t="s">
        <v>940</v>
      </c>
      <c r="L39" s="24" t="s">
        <v>941</v>
      </c>
      <c r="M39" s="24"/>
      <c r="N39" s="24" t="s">
        <v>942</v>
      </c>
      <c r="O39" s="24" t="s">
        <v>666</v>
      </c>
    </row>
    <row r="40" customFormat="false" ht="39.75" hidden="false" customHeight="true" outlineLevel="0" collapsed="false">
      <c r="A40" s="25" t="s">
        <v>514</v>
      </c>
      <c r="B40" s="26" t="s">
        <v>515</v>
      </c>
      <c r="C40" s="26" t="s">
        <v>592</v>
      </c>
      <c r="D40" s="26" t="s">
        <v>593</v>
      </c>
      <c r="E40" s="25" t="s">
        <v>943</v>
      </c>
      <c r="F40" s="26" t="s">
        <v>944</v>
      </c>
      <c r="G40" s="26" t="s">
        <v>945</v>
      </c>
      <c r="H40" s="26" t="s">
        <v>930</v>
      </c>
      <c r="I40" s="26" t="s">
        <v>676</v>
      </c>
      <c r="J40" s="26" t="s">
        <v>946</v>
      </c>
      <c r="K40" s="26" t="s">
        <v>947</v>
      </c>
      <c r="L40" s="26"/>
      <c r="M40" s="26"/>
      <c r="N40" s="26" t="s">
        <v>948</v>
      </c>
      <c r="O40" s="26" t="s">
        <v>666</v>
      </c>
    </row>
    <row r="41" customFormat="false" ht="39.75" hidden="false" customHeight="true" outlineLevel="0" collapsed="false">
      <c r="A41" s="27" t="s">
        <v>514</v>
      </c>
      <c r="B41" s="28" t="s">
        <v>515</v>
      </c>
      <c r="C41" s="28" t="s">
        <v>592</v>
      </c>
      <c r="D41" s="28" t="s">
        <v>593</v>
      </c>
      <c r="E41" s="27" t="s">
        <v>949</v>
      </c>
      <c r="F41" s="28" t="s">
        <v>950</v>
      </c>
      <c r="G41" s="28" t="s">
        <v>951</v>
      </c>
      <c r="H41" s="28" t="s">
        <v>930</v>
      </c>
      <c r="I41" s="28" t="s">
        <v>685</v>
      </c>
      <c r="J41" s="28" t="s">
        <v>952</v>
      </c>
      <c r="K41" s="28" t="s">
        <v>953</v>
      </c>
      <c r="L41" s="28"/>
      <c r="M41" s="28" t="s">
        <v>954</v>
      </c>
      <c r="N41" s="28" t="s">
        <v>769</v>
      </c>
      <c r="O41" s="28" t="s">
        <v>666</v>
      </c>
    </row>
    <row r="42" customFormat="false" ht="39.75" hidden="false" customHeight="true" outlineLevel="0" collapsed="false">
      <c r="A42" s="23" t="s">
        <v>519</v>
      </c>
      <c r="B42" s="24" t="s">
        <v>520</v>
      </c>
      <c r="C42" s="24" t="s">
        <v>594</v>
      </c>
      <c r="D42" s="24" t="s">
        <v>595</v>
      </c>
      <c r="E42" s="23" t="s">
        <v>955</v>
      </c>
      <c r="F42" s="24" t="s">
        <v>956</v>
      </c>
      <c r="G42" s="24" t="s">
        <v>957</v>
      </c>
      <c r="H42" s="24" t="s">
        <v>930</v>
      </c>
      <c r="I42" s="24" t="s">
        <v>667</v>
      </c>
      <c r="J42" s="24" t="s">
        <v>958</v>
      </c>
      <c r="K42" s="24" t="s">
        <v>959</v>
      </c>
      <c r="L42" s="24" t="s">
        <v>960</v>
      </c>
      <c r="M42" s="24" t="s">
        <v>961</v>
      </c>
      <c r="N42" s="24" t="s">
        <v>962</v>
      </c>
      <c r="O42" s="24" t="s">
        <v>666</v>
      </c>
    </row>
    <row r="43" customFormat="false" ht="39.75" hidden="false" customHeight="true" outlineLevel="0" collapsed="false">
      <c r="A43" s="25" t="s">
        <v>519</v>
      </c>
      <c r="B43" s="26" t="s">
        <v>520</v>
      </c>
      <c r="C43" s="26" t="s">
        <v>594</v>
      </c>
      <c r="D43" s="26" t="s">
        <v>595</v>
      </c>
      <c r="E43" s="25" t="s">
        <v>963</v>
      </c>
      <c r="F43" s="26" t="s">
        <v>964</v>
      </c>
      <c r="G43" s="26" t="s">
        <v>965</v>
      </c>
      <c r="H43" s="26" t="s">
        <v>930</v>
      </c>
      <c r="I43" s="26" t="s">
        <v>676</v>
      </c>
      <c r="J43" s="26" t="s">
        <v>966</v>
      </c>
      <c r="K43" s="26" t="s">
        <v>967</v>
      </c>
      <c r="L43" s="26"/>
      <c r="M43" s="26" t="s">
        <v>968</v>
      </c>
      <c r="N43" s="26" t="s">
        <v>969</v>
      </c>
      <c r="O43" s="26" t="s">
        <v>666</v>
      </c>
    </row>
    <row r="44" customFormat="false" ht="39.75" hidden="false" customHeight="true" outlineLevel="0" collapsed="false">
      <c r="A44" s="27" t="s">
        <v>519</v>
      </c>
      <c r="B44" s="28" t="s">
        <v>520</v>
      </c>
      <c r="C44" s="28" t="s">
        <v>594</v>
      </c>
      <c r="D44" s="28" t="s">
        <v>595</v>
      </c>
      <c r="E44" s="27" t="s">
        <v>970</v>
      </c>
      <c r="F44" s="28" t="s">
        <v>971</v>
      </c>
      <c r="G44" s="28" t="s">
        <v>972</v>
      </c>
      <c r="H44" s="28" t="s">
        <v>930</v>
      </c>
      <c r="I44" s="28" t="s">
        <v>685</v>
      </c>
      <c r="J44" s="28" t="s">
        <v>973</v>
      </c>
      <c r="K44" s="28" t="s">
        <v>974</v>
      </c>
      <c r="L44" s="28"/>
      <c r="M44" s="28" t="s">
        <v>975</v>
      </c>
      <c r="N44" s="28" t="s">
        <v>976</v>
      </c>
      <c r="O44" s="28" t="s">
        <v>666</v>
      </c>
    </row>
    <row r="45" customFormat="false" ht="39.75" hidden="false" customHeight="true" outlineLevel="0" collapsed="false">
      <c r="A45" s="25" t="s">
        <v>519</v>
      </c>
      <c r="B45" s="26" t="s">
        <v>520</v>
      </c>
      <c r="C45" s="26" t="s">
        <v>596</v>
      </c>
      <c r="D45" s="26" t="s">
        <v>597</v>
      </c>
      <c r="E45" s="25" t="s">
        <v>977</v>
      </c>
      <c r="F45" s="26" t="s">
        <v>978</v>
      </c>
      <c r="G45" s="26" t="s">
        <v>979</v>
      </c>
      <c r="H45" s="26" t="s">
        <v>930</v>
      </c>
      <c r="I45" s="26" t="s">
        <v>676</v>
      </c>
      <c r="J45" s="26" t="s">
        <v>980</v>
      </c>
      <c r="K45" s="26" t="s">
        <v>981</v>
      </c>
      <c r="L45" s="26" t="s">
        <v>982</v>
      </c>
      <c r="M45" s="26" t="s">
        <v>983</v>
      </c>
      <c r="N45" s="26" t="s">
        <v>984</v>
      </c>
      <c r="O45" s="26" t="s">
        <v>666</v>
      </c>
    </row>
    <row r="46" customFormat="false" ht="39.75" hidden="false" customHeight="true" outlineLevel="0" collapsed="false">
      <c r="A46" s="27" t="s">
        <v>519</v>
      </c>
      <c r="B46" s="28" t="s">
        <v>520</v>
      </c>
      <c r="C46" s="28" t="s">
        <v>596</v>
      </c>
      <c r="D46" s="28" t="s">
        <v>597</v>
      </c>
      <c r="E46" s="27" t="s">
        <v>985</v>
      </c>
      <c r="F46" s="28" t="s">
        <v>986</v>
      </c>
      <c r="G46" s="28" t="s">
        <v>987</v>
      </c>
      <c r="H46" s="28" t="s">
        <v>930</v>
      </c>
      <c r="I46" s="28" t="s">
        <v>685</v>
      </c>
      <c r="J46" s="28" t="s">
        <v>988</v>
      </c>
      <c r="K46" s="28" t="s">
        <v>989</v>
      </c>
      <c r="L46" s="28"/>
      <c r="M46" s="28"/>
      <c r="N46" s="28" t="s">
        <v>990</v>
      </c>
      <c r="O46" s="28" t="s">
        <v>666</v>
      </c>
    </row>
    <row r="47" customFormat="false" ht="39.75" hidden="false" customHeight="true" outlineLevel="0" collapsed="false">
      <c r="A47" s="23" t="s">
        <v>519</v>
      </c>
      <c r="B47" s="24" t="s">
        <v>520</v>
      </c>
      <c r="C47" s="24" t="s">
        <v>598</v>
      </c>
      <c r="D47" s="24" t="s">
        <v>599</v>
      </c>
      <c r="E47" s="23" t="s">
        <v>991</v>
      </c>
      <c r="F47" s="24" t="s">
        <v>992</v>
      </c>
      <c r="G47" s="24" t="s">
        <v>993</v>
      </c>
      <c r="H47" s="24" t="s">
        <v>930</v>
      </c>
      <c r="I47" s="24" t="s">
        <v>667</v>
      </c>
      <c r="J47" s="24" t="s">
        <v>994</v>
      </c>
      <c r="K47" s="24" t="s">
        <v>995</v>
      </c>
      <c r="L47" s="24" t="s">
        <v>996</v>
      </c>
      <c r="M47" s="24" t="s">
        <v>997</v>
      </c>
      <c r="N47" s="24" t="s">
        <v>998</v>
      </c>
      <c r="O47" s="24" t="s">
        <v>666</v>
      </c>
    </row>
    <row r="48" customFormat="false" ht="39.75" hidden="false" customHeight="true" outlineLevel="0" collapsed="false">
      <c r="A48" s="25" t="s">
        <v>519</v>
      </c>
      <c r="B48" s="26" t="s">
        <v>520</v>
      </c>
      <c r="C48" s="26" t="s">
        <v>600</v>
      </c>
      <c r="D48" s="26" t="s">
        <v>601</v>
      </c>
      <c r="E48" s="25" t="s">
        <v>999</v>
      </c>
      <c r="F48" s="26" t="s">
        <v>1000</v>
      </c>
      <c r="G48" s="26" t="s">
        <v>1001</v>
      </c>
      <c r="H48" s="26" t="s">
        <v>930</v>
      </c>
      <c r="I48" s="26" t="s">
        <v>676</v>
      </c>
      <c r="J48" s="26" t="s">
        <v>1002</v>
      </c>
      <c r="K48" s="26" t="s">
        <v>1003</v>
      </c>
      <c r="L48" s="26" t="s">
        <v>1004</v>
      </c>
      <c r="M48" s="26"/>
      <c r="N48" s="26" t="s">
        <v>1005</v>
      </c>
      <c r="O48" s="26" t="s">
        <v>666</v>
      </c>
    </row>
    <row r="49" customFormat="false" ht="39.75" hidden="false" customHeight="true" outlineLevel="0" collapsed="false">
      <c r="A49" s="27" t="s">
        <v>519</v>
      </c>
      <c r="B49" s="28" t="s">
        <v>520</v>
      </c>
      <c r="C49" s="28" t="s">
        <v>600</v>
      </c>
      <c r="D49" s="28" t="s">
        <v>601</v>
      </c>
      <c r="E49" s="27" t="s">
        <v>1006</v>
      </c>
      <c r="F49" s="28" t="s">
        <v>1007</v>
      </c>
      <c r="G49" s="28" t="s">
        <v>1008</v>
      </c>
      <c r="H49" s="28" t="s">
        <v>930</v>
      </c>
      <c r="I49" s="28" t="s">
        <v>685</v>
      </c>
      <c r="J49" s="28" t="s">
        <v>1009</v>
      </c>
      <c r="K49" s="28" t="s">
        <v>1010</v>
      </c>
      <c r="L49" s="28"/>
      <c r="M49" s="28"/>
      <c r="N49" s="28" t="s">
        <v>1011</v>
      </c>
      <c r="O49" s="28" t="s">
        <v>666</v>
      </c>
    </row>
    <row r="50" customFormat="false" ht="39.75" hidden="false" customHeight="true" outlineLevel="0" collapsed="false">
      <c r="A50" s="23" t="s">
        <v>524</v>
      </c>
      <c r="B50" s="24" t="s">
        <v>525</v>
      </c>
      <c r="C50" s="24" t="s">
        <v>602</v>
      </c>
      <c r="D50" s="24" t="s">
        <v>603</v>
      </c>
      <c r="E50" s="23" t="s">
        <v>1012</v>
      </c>
      <c r="F50" s="24" t="s">
        <v>1013</v>
      </c>
      <c r="G50" s="24" t="s">
        <v>1014</v>
      </c>
      <c r="H50" s="24" t="s">
        <v>666</v>
      </c>
      <c r="I50" s="24" t="s">
        <v>667</v>
      </c>
      <c r="J50" s="24" t="s">
        <v>1015</v>
      </c>
      <c r="K50" s="24" t="s">
        <v>1016</v>
      </c>
      <c r="L50" s="24"/>
      <c r="M50" s="24"/>
      <c r="N50" s="24" t="s">
        <v>1017</v>
      </c>
      <c r="O50" s="24" t="s">
        <v>666</v>
      </c>
    </row>
    <row r="51" customFormat="false" ht="39.75" hidden="false" customHeight="true" outlineLevel="0" collapsed="false">
      <c r="A51" s="25" t="s">
        <v>524</v>
      </c>
      <c r="B51" s="26" t="s">
        <v>525</v>
      </c>
      <c r="C51" s="26" t="s">
        <v>602</v>
      </c>
      <c r="D51" s="26" t="s">
        <v>603</v>
      </c>
      <c r="E51" s="25" t="s">
        <v>1018</v>
      </c>
      <c r="F51" s="26" t="s">
        <v>1019</v>
      </c>
      <c r="G51" s="26" t="s">
        <v>1020</v>
      </c>
      <c r="H51" s="26" t="s">
        <v>666</v>
      </c>
      <c r="I51" s="26" t="s">
        <v>676</v>
      </c>
      <c r="J51" s="26" t="s">
        <v>1021</v>
      </c>
      <c r="K51" s="26" t="s">
        <v>1022</v>
      </c>
      <c r="L51" s="26"/>
      <c r="M51" s="26"/>
      <c r="N51" s="26" t="s">
        <v>1023</v>
      </c>
      <c r="O51" s="26" t="s">
        <v>666</v>
      </c>
    </row>
    <row r="52" customFormat="false" ht="39.75" hidden="false" customHeight="true" outlineLevel="0" collapsed="false">
      <c r="A52" s="23" t="s">
        <v>524</v>
      </c>
      <c r="B52" s="24" t="s">
        <v>525</v>
      </c>
      <c r="C52" s="24" t="s">
        <v>602</v>
      </c>
      <c r="D52" s="24" t="s">
        <v>603</v>
      </c>
      <c r="E52" s="23" t="s">
        <v>1024</v>
      </c>
      <c r="F52" s="24" t="s">
        <v>1025</v>
      </c>
      <c r="G52" s="24" t="s">
        <v>1026</v>
      </c>
      <c r="H52" s="24" t="s">
        <v>666</v>
      </c>
      <c r="I52" s="24" t="s">
        <v>667</v>
      </c>
      <c r="J52" s="24" t="s">
        <v>1027</v>
      </c>
      <c r="K52" s="24" t="s">
        <v>1028</v>
      </c>
      <c r="L52" s="24"/>
      <c r="M52" s="24"/>
      <c r="N52" s="24" t="s">
        <v>1029</v>
      </c>
      <c r="O52" s="24" t="s">
        <v>666</v>
      </c>
    </row>
    <row r="53" customFormat="false" ht="39.75" hidden="false" customHeight="true" outlineLevel="0" collapsed="false">
      <c r="A53" s="25" t="s">
        <v>524</v>
      </c>
      <c r="B53" s="26" t="s">
        <v>525</v>
      </c>
      <c r="C53" s="26" t="s">
        <v>604</v>
      </c>
      <c r="D53" s="26" t="s">
        <v>605</v>
      </c>
      <c r="E53" s="25" t="s">
        <v>1030</v>
      </c>
      <c r="F53" s="26" t="s">
        <v>1031</v>
      </c>
      <c r="G53" s="26" t="s">
        <v>1032</v>
      </c>
      <c r="H53" s="26" t="s">
        <v>666</v>
      </c>
      <c r="I53" s="26" t="s">
        <v>676</v>
      </c>
      <c r="J53" s="26" t="s">
        <v>1033</v>
      </c>
      <c r="K53" s="26" t="s">
        <v>1034</v>
      </c>
      <c r="L53" s="26"/>
      <c r="M53" s="26"/>
      <c r="N53" s="26" t="s">
        <v>1035</v>
      </c>
      <c r="O53" s="26" t="s">
        <v>666</v>
      </c>
    </row>
    <row r="54" customFormat="false" ht="39.75" hidden="false" customHeight="true" outlineLevel="0" collapsed="false">
      <c r="A54" s="27" t="s">
        <v>524</v>
      </c>
      <c r="B54" s="28" t="s">
        <v>525</v>
      </c>
      <c r="C54" s="28" t="s">
        <v>606</v>
      </c>
      <c r="D54" s="28" t="s">
        <v>607</v>
      </c>
      <c r="E54" s="27" t="s">
        <v>1036</v>
      </c>
      <c r="F54" s="28" t="s">
        <v>1037</v>
      </c>
      <c r="G54" s="28" t="s">
        <v>1038</v>
      </c>
      <c r="H54" s="28" t="s">
        <v>666</v>
      </c>
      <c r="I54" s="28" t="s">
        <v>685</v>
      </c>
      <c r="J54" s="28" t="s">
        <v>1039</v>
      </c>
      <c r="K54" s="28" t="s">
        <v>1040</v>
      </c>
      <c r="L54" s="28"/>
      <c r="M54" s="28"/>
      <c r="N54" s="28" t="s">
        <v>1041</v>
      </c>
      <c r="O54" s="28" t="s">
        <v>666</v>
      </c>
    </row>
    <row r="55" customFormat="false" ht="39.75" hidden="false" customHeight="true" outlineLevel="0" collapsed="false">
      <c r="A55" s="25" t="s">
        <v>529</v>
      </c>
      <c r="B55" s="26" t="s">
        <v>530</v>
      </c>
      <c r="C55" s="26" t="s">
        <v>608</v>
      </c>
      <c r="D55" s="26" t="s">
        <v>609</v>
      </c>
      <c r="E55" s="25" t="s">
        <v>1042</v>
      </c>
      <c r="F55" s="26" t="s">
        <v>1043</v>
      </c>
      <c r="G55" s="26" t="s">
        <v>1044</v>
      </c>
      <c r="H55" s="26" t="s">
        <v>666</v>
      </c>
      <c r="I55" s="26" t="s">
        <v>676</v>
      </c>
      <c r="J55" s="26" t="s">
        <v>1045</v>
      </c>
      <c r="K55" s="26" t="s">
        <v>1046</v>
      </c>
      <c r="L55" s="26" t="s">
        <v>1047</v>
      </c>
      <c r="M55" s="26" t="s">
        <v>1048</v>
      </c>
      <c r="N55" s="26" t="s">
        <v>948</v>
      </c>
      <c r="O55" s="26" t="s">
        <v>666</v>
      </c>
    </row>
    <row r="56" customFormat="false" ht="39.75" hidden="false" customHeight="true" outlineLevel="0" collapsed="false">
      <c r="A56" s="27" t="s">
        <v>529</v>
      </c>
      <c r="B56" s="28" t="s">
        <v>530</v>
      </c>
      <c r="C56" s="28" t="s">
        <v>610</v>
      </c>
      <c r="D56" s="28" t="s">
        <v>611</v>
      </c>
      <c r="E56" s="27" t="s">
        <v>1049</v>
      </c>
      <c r="F56" s="28" t="s">
        <v>1050</v>
      </c>
      <c r="G56" s="28" t="s">
        <v>1051</v>
      </c>
      <c r="H56" s="28" t="s">
        <v>666</v>
      </c>
      <c r="I56" s="28" t="s">
        <v>685</v>
      </c>
      <c r="J56" s="28" t="s">
        <v>1052</v>
      </c>
      <c r="K56" s="28" t="s">
        <v>1053</v>
      </c>
      <c r="L56" s="28"/>
      <c r="M56" s="28" t="s">
        <v>1054</v>
      </c>
      <c r="N56" s="28" t="s">
        <v>1055</v>
      </c>
      <c r="O56" s="28" t="s">
        <v>666</v>
      </c>
    </row>
    <row r="57" customFormat="false" ht="39.75" hidden="false" customHeight="true" outlineLevel="0" collapsed="false">
      <c r="A57" s="25" t="s">
        <v>529</v>
      </c>
      <c r="B57" s="26" t="s">
        <v>530</v>
      </c>
      <c r="C57" s="26" t="s">
        <v>610</v>
      </c>
      <c r="D57" s="26" t="s">
        <v>611</v>
      </c>
      <c r="E57" s="25" t="s">
        <v>1056</v>
      </c>
      <c r="F57" s="26" t="s">
        <v>1057</v>
      </c>
      <c r="G57" s="26" t="s">
        <v>1058</v>
      </c>
      <c r="H57" s="26" t="s">
        <v>666</v>
      </c>
      <c r="I57" s="26" t="s">
        <v>676</v>
      </c>
      <c r="J57" s="26" t="s">
        <v>1059</v>
      </c>
      <c r="K57" s="26" t="s">
        <v>1060</v>
      </c>
      <c r="L57" s="26" t="s">
        <v>1061</v>
      </c>
      <c r="M57" s="26" t="s">
        <v>1062</v>
      </c>
      <c r="N57" s="26" t="s">
        <v>948</v>
      </c>
      <c r="O57" s="26" t="s">
        <v>740</v>
      </c>
    </row>
    <row r="58" customFormat="false" ht="39.75" hidden="false" customHeight="true" outlineLevel="0" collapsed="false">
      <c r="A58" s="25" t="s">
        <v>529</v>
      </c>
      <c r="B58" s="26" t="s">
        <v>530</v>
      </c>
      <c r="C58" s="26" t="s">
        <v>612</v>
      </c>
      <c r="D58" s="26" t="s">
        <v>613</v>
      </c>
      <c r="E58" s="25" t="s">
        <v>1063</v>
      </c>
      <c r="F58" s="26" t="s">
        <v>1064</v>
      </c>
      <c r="G58" s="26" t="s">
        <v>1065</v>
      </c>
      <c r="H58" s="26" t="s">
        <v>666</v>
      </c>
      <c r="I58" s="26" t="s">
        <v>676</v>
      </c>
      <c r="J58" s="26" t="s">
        <v>1066</v>
      </c>
      <c r="K58" s="26" t="s">
        <v>1067</v>
      </c>
      <c r="L58" s="26" t="s">
        <v>1068</v>
      </c>
      <c r="M58" s="26"/>
      <c r="N58" s="26" t="s">
        <v>1069</v>
      </c>
      <c r="O58" s="26" t="s">
        <v>666</v>
      </c>
    </row>
    <row r="59" customFormat="false" ht="39.75" hidden="false" customHeight="true" outlineLevel="0" collapsed="false">
      <c r="A59" s="25" t="s">
        <v>534</v>
      </c>
      <c r="B59" s="26" t="s">
        <v>535</v>
      </c>
      <c r="C59" s="26" t="s">
        <v>614</v>
      </c>
      <c r="D59" s="26" t="s">
        <v>615</v>
      </c>
      <c r="E59" s="25" t="s">
        <v>1070</v>
      </c>
      <c r="F59" s="26" t="s">
        <v>1071</v>
      </c>
      <c r="G59" s="26" t="s">
        <v>1072</v>
      </c>
      <c r="H59" s="26" t="s">
        <v>666</v>
      </c>
      <c r="I59" s="26" t="s">
        <v>676</v>
      </c>
      <c r="J59" s="26" t="s">
        <v>1073</v>
      </c>
      <c r="K59" s="26" t="s">
        <v>1074</v>
      </c>
      <c r="L59" s="26"/>
      <c r="M59" s="26"/>
      <c r="N59" s="26" t="s">
        <v>1075</v>
      </c>
      <c r="O59" s="26" t="s">
        <v>666</v>
      </c>
    </row>
    <row r="60" customFormat="false" ht="39.75" hidden="false" customHeight="true" outlineLevel="0" collapsed="false">
      <c r="A60" s="25" t="s">
        <v>534</v>
      </c>
      <c r="B60" s="26" t="s">
        <v>535</v>
      </c>
      <c r="C60" s="26" t="s">
        <v>616</v>
      </c>
      <c r="D60" s="26" t="s">
        <v>538</v>
      </c>
      <c r="E60" s="25" t="s">
        <v>1076</v>
      </c>
      <c r="F60" s="26" t="s">
        <v>1077</v>
      </c>
      <c r="G60" s="26" t="s">
        <v>1078</v>
      </c>
      <c r="H60" s="26" t="s">
        <v>666</v>
      </c>
      <c r="I60" s="26" t="s">
        <v>676</v>
      </c>
      <c r="J60" s="26" t="s">
        <v>1079</v>
      </c>
      <c r="K60" s="26" t="s">
        <v>1080</v>
      </c>
      <c r="L60" s="26" t="s">
        <v>1081</v>
      </c>
      <c r="M60" s="26" t="s">
        <v>1062</v>
      </c>
      <c r="N60" s="26" t="s">
        <v>1082</v>
      </c>
      <c r="O60" s="26" t="s">
        <v>740</v>
      </c>
    </row>
    <row r="61" customFormat="false" ht="39.75" hidden="false" customHeight="true" outlineLevel="0" collapsed="false">
      <c r="A61" s="27" t="s">
        <v>534</v>
      </c>
      <c r="B61" s="28" t="s">
        <v>535</v>
      </c>
      <c r="C61" s="28" t="s">
        <v>616</v>
      </c>
      <c r="D61" s="28" t="s">
        <v>538</v>
      </c>
      <c r="E61" s="27" t="s">
        <v>1083</v>
      </c>
      <c r="F61" s="28" t="s">
        <v>1084</v>
      </c>
      <c r="G61" s="28" t="s">
        <v>1085</v>
      </c>
      <c r="H61" s="28" t="s">
        <v>666</v>
      </c>
      <c r="I61" s="28" t="s">
        <v>685</v>
      </c>
      <c r="J61" s="28" t="s">
        <v>1086</v>
      </c>
      <c r="K61" s="28" t="s">
        <v>1087</v>
      </c>
      <c r="L61" s="28"/>
      <c r="M61" s="28"/>
      <c r="N61" s="28" t="s">
        <v>1088</v>
      </c>
      <c r="O61" s="28" t="s">
        <v>666</v>
      </c>
    </row>
    <row r="62" customFormat="false" ht="39.75" hidden="false" customHeight="true" outlineLevel="0" collapsed="false">
      <c r="A62" s="25" t="s">
        <v>539</v>
      </c>
      <c r="B62" s="26" t="s">
        <v>540</v>
      </c>
      <c r="C62" s="26" t="s">
        <v>617</v>
      </c>
      <c r="D62" s="26" t="s">
        <v>618</v>
      </c>
      <c r="E62" s="25" t="s">
        <v>1089</v>
      </c>
      <c r="F62" s="26" t="s">
        <v>1090</v>
      </c>
      <c r="G62" s="26" t="s">
        <v>1091</v>
      </c>
      <c r="H62" s="26" t="s">
        <v>666</v>
      </c>
      <c r="I62" s="26" t="s">
        <v>676</v>
      </c>
      <c r="J62" s="26" t="s">
        <v>1092</v>
      </c>
      <c r="K62" s="26" t="s">
        <v>1093</v>
      </c>
      <c r="L62" s="26"/>
      <c r="M62" s="26"/>
      <c r="N62" s="26" t="s">
        <v>1094</v>
      </c>
      <c r="O62" s="26" t="s">
        <v>666</v>
      </c>
    </row>
    <row r="63" customFormat="false" ht="39.75" hidden="false" customHeight="true" outlineLevel="0" collapsed="false">
      <c r="A63" s="25" t="s">
        <v>539</v>
      </c>
      <c r="B63" s="26" t="s">
        <v>540</v>
      </c>
      <c r="C63" s="26" t="s">
        <v>617</v>
      </c>
      <c r="D63" s="26" t="s">
        <v>618</v>
      </c>
      <c r="E63" s="25" t="s">
        <v>1095</v>
      </c>
      <c r="F63" s="26" t="s">
        <v>1096</v>
      </c>
      <c r="G63" s="26" t="s">
        <v>1097</v>
      </c>
      <c r="H63" s="26" t="s">
        <v>666</v>
      </c>
      <c r="I63" s="26" t="s">
        <v>676</v>
      </c>
      <c r="J63" s="26" t="s">
        <v>1098</v>
      </c>
      <c r="K63" s="26" t="s">
        <v>1099</v>
      </c>
      <c r="L63" s="26"/>
      <c r="M63" s="26" t="s">
        <v>1100</v>
      </c>
      <c r="N63" s="26" t="s">
        <v>1101</v>
      </c>
      <c r="O63" s="26" t="s">
        <v>666</v>
      </c>
    </row>
    <row r="64" customFormat="false" ht="39.75" hidden="false" customHeight="true" outlineLevel="0" collapsed="false">
      <c r="A64" s="27" t="s">
        <v>539</v>
      </c>
      <c r="B64" s="28" t="s">
        <v>540</v>
      </c>
      <c r="C64" s="28" t="s">
        <v>617</v>
      </c>
      <c r="D64" s="28" t="s">
        <v>618</v>
      </c>
      <c r="E64" s="27" t="s">
        <v>1102</v>
      </c>
      <c r="F64" s="28" t="s">
        <v>1103</v>
      </c>
      <c r="G64" s="28" t="s">
        <v>1104</v>
      </c>
      <c r="H64" s="28" t="s">
        <v>666</v>
      </c>
      <c r="I64" s="28" t="s">
        <v>685</v>
      </c>
      <c r="J64" s="28" t="s">
        <v>1105</v>
      </c>
      <c r="K64" s="28" t="s">
        <v>1106</v>
      </c>
      <c r="L64" s="28"/>
      <c r="M64" s="28"/>
      <c r="N64" s="28" t="s">
        <v>1107</v>
      </c>
      <c r="O64" s="28" t="s">
        <v>666</v>
      </c>
    </row>
    <row r="65" customFormat="false" ht="39.75" hidden="false" customHeight="true" outlineLevel="0" collapsed="false">
      <c r="A65" s="27" t="s">
        <v>539</v>
      </c>
      <c r="B65" s="28" t="s">
        <v>540</v>
      </c>
      <c r="C65" s="28" t="s">
        <v>619</v>
      </c>
      <c r="D65" s="28" t="s">
        <v>620</v>
      </c>
      <c r="E65" s="27" t="s">
        <v>1108</v>
      </c>
      <c r="F65" s="28" t="s">
        <v>1109</v>
      </c>
      <c r="G65" s="28" t="s">
        <v>1110</v>
      </c>
      <c r="H65" s="28" t="s">
        <v>666</v>
      </c>
      <c r="I65" s="28" t="s">
        <v>685</v>
      </c>
      <c r="J65" s="28" t="s">
        <v>1111</v>
      </c>
      <c r="K65" s="28" t="s">
        <v>1112</v>
      </c>
      <c r="L65" s="28"/>
      <c r="M65" s="28"/>
      <c r="N65" s="28" t="s">
        <v>1113</v>
      </c>
      <c r="O65" s="28" t="s">
        <v>666</v>
      </c>
    </row>
    <row r="66" customFormat="false" ht="39.75" hidden="false" customHeight="true" outlineLevel="0" collapsed="false">
      <c r="A66" s="25" t="s">
        <v>544</v>
      </c>
      <c r="B66" s="26" t="s">
        <v>545</v>
      </c>
      <c r="C66" s="26" t="s">
        <v>621</v>
      </c>
      <c r="D66" s="26" t="s">
        <v>622</v>
      </c>
      <c r="E66" s="25" t="s">
        <v>1114</v>
      </c>
      <c r="F66" s="26" t="s">
        <v>1115</v>
      </c>
      <c r="G66" s="26" t="s">
        <v>1116</v>
      </c>
      <c r="H66" s="26" t="s">
        <v>666</v>
      </c>
      <c r="I66" s="26" t="s">
        <v>676</v>
      </c>
      <c r="J66" s="26" t="s">
        <v>1117</v>
      </c>
      <c r="K66" s="26" t="s">
        <v>1118</v>
      </c>
      <c r="L66" s="26"/>
      <c r="M66" s="26"/>
      <c r="N66" s="26" t="s">
        <v>1119</v>
      </c>
      <c r="O66" s="26" t="s">
        <v>666</v>
      </c>
    </row>
    <row r="67" customFormat="false" ht="39.75" hidden="false" customHeight="true" outlineLevel="0" collapsed="false">
      <c r="A67" s="25" t="s">
        <v>544</v>
      </c>
      <c r="B67" s="26" t="s">
        <v>545</v>
      </c>
      <c r="C67" s="26" t="s">
        <v>623</v>
      </c>
      <c r="D67" s="26" t="s">
        <v>624</v>
      </c>
      <c r="E67" s="25" t="s">
        <v>1120</v>
      </c>
      <c r="F67" s="26" t="s">
        <v>1121</v>
      </c>
      <c r="G67" s="26" t="s">
        <v>1122</v>
      </c>
      <c r="H67" s="26" t="s">
        <v>666</v>
      </c>
      <c r="I67" s="26" t="s">
        <v>676</v>
      </c>
      <c r="J67" s="26" t="s">
        <v>1123</v>
      </c>
      <c r="K67" s="26" t="s">
        <v>1124</v>
      </c>
      <c r="L67" s="26"/>
      <c r="M67" s="26"/>
      <c r="N67" s="26" t="s">
        <v>1125</v>
      </c>
      <c r="O67" s="26" t="s">
        <v>666</v>
      </c>
    </row>
    <row r="68" customFormat="false" ht="39.75" hidden="false" customHeight="true" outlineLevel="0" collapsed="false">
      <c r="A68" s="25" t="s">
        <v>544</v>
      </c>
      <c r="B68" s="26" t="s">
        <v>545</v>
      </c>
      <c r="C68" s="26" t="s">
        <v>623</v>
      </c>
      <c r="D68" s="26" t="s">
        <v>624</v>
      </c>
      <c r="E68" s="25" t="s">
        <v>1126</v>
      </c>
      <c r="F68" s="26" t="s">
        <v>1127</v>
      </c>
      <c r="G68" s="26" t="s">
        <v>1128</v>
      </c>
      <c r="H68" s="26" t="s">
        <v>666</v>
      </c>
      <c r="I68" s="26" t="s">
        <v>676</v>
      </c>
      <c r="J68" s="26" t="s">
        <v>1129</v>
      </c>
      <c r="K68" s="26" t="s">
        <v>1130</v>
      </c>
      <c r="L68" s="26"/>
      <c r="M68" s="26"/>
      <c r="N68" s="26" t="s">
        <v>1131</v>
      </c>
      <c r="O68" s="26" t="s">
        <v>666</v>
      </c>
    </row>
    <row r="69" customFormat="false" ht="39.75" hidden="false" customHeight="true" outlineLevel="0" collapsed="false">
      <c r="A69" s="27" t="s">
        <v>544</v>
      </c>
      <c r="B69" s="28" t="s">
        <v>545</v>
      </c>
      <c r="C69" s="28" t="s">
        <v>625</v>
      </c>
      <c r="D69" s="28" t="s">
        <v>626</v>
      </c>
      <c r="E69" s="27" t="s">
        <v>1132</v>
      </c>
      <c r="F69" s="28" t="s">
        <v>1133</v>
      </c>
      <c r="G69" s="28" t="s">
        <v>1134</v>
      </c>
      <c r="H69" s="28" t="s">
        <v>666</v>
      </c>
      <c r="I69" s="28" t="s">
        <v>685</v>
      </c>
      <c r="J69" s="28" t="s">
        <v>1135</v>
      </c>
      <c r="K69" s="28" t="s">
        <v>1136</v>
      </c>
      <c r="L69" s="28"/>
      <c r="M69" s="28"/>
      <c r="N69" s="28" t="s">
        <v>1137</v>
      </c>
      <c r="O69" s="28" t="s">
        <v>666</v>
      </c>
    </row>
    <row r="70" customFormat="false" ht="39.75" hidden="false" customHeight="true" outlineLevel="0" collapsed="false">
      <c r="A70" s="25" t="s">
        <v>544</v>
      </c>
      <c r="B70" s="26" t="s">
        <v>545</v>
      </c>
      <c r="C70" s="26" t="s">
        <v>627</v>
      </c>
      <c r="D70" s="26" t="s">
        <v>628</v>
      </c>
      <c r="E70" s="25" t="s">
        <v>1138</v>
      </c>
      <c r="F70" s="26" t="s">
        <v>1139</v>
      </c>
      <c r="G70" s="26" t="s">
        <v>1140</v>
      </c>
      <c r="H70" s="26" t="s">
        <v>666</v>
      </c>
      <c r="I70" s="26" t="s">
        <v>676</v>
      </c>
      <c r="J70" s="26" t="s">
        <v>1141</v>
      </c>
      <c r="K70" s="26" t="s">
        <v>1142</v>
      </c>
      <c r="L70" s="26"/>
      <c r="M70" s="26"/>
      <c r="N70" s="26" t="s">
        <v>1143</v>
      </c>
      <c r="O70" s="26" t="s">
        <v>666</v>
      </c>
    </row>
    <row r="71" customFormat="false" ht="39.75" hidden="false" customHeight="true" outlineLevel="0" collapsed="false">
      <c r="A71" s="27" t="s">
        <v>544</v>
      </c>
      <c r="B71" s="28" t="s">
        <v>545</v>
      </c>
      <c r="C71" s="28" t="s">
        <v>629</v>
      </c>
      <c r="D71" s="28" t="s">
        <v>630</v>
      </c>
      <c r="E71" s="27" t="s">
        <v>1144</v>
      </c>
      <c r="F71" s="28" t="s">
        <v>1145</v>
      </c>
      <c r="G71" s="28" t="s">
        <v>1146</v>
      </c>
      <c r="H71" s="28" t="s">
        <v>666</v>
      </c>
      <c r="I71" s="28" t="s">
        <v>685</v>
      </c>
      <c r="J71" s="28" t="s">
        <v>1147</v>
      </c>
      <c r="K71" s="28" t="s">
        <v>1148</v>
      </c>
      <c r="L71" s="28"/>
      <c r="M71" s="28"/>
      <c r="N71" s="28" t="s">
        <v>1149</v>
      </c>
      <c r="O71" s="28" t="s">
        <v>666</v>
      </c>
    </row>
    <row r="72" customFormat="false" ht="39.75" hidden="false" customHeight="true" outlineLevel="0" collapsed="false">
      <c r="A72" s="25" t="s">
        <v>549</v>
      </c>
      <c r="B72" s="26" t="s">
        <v>550</v>
      </c>
      <c r="C72" s="26" t="s">
        <v>631</v>
      </c>
      <c r="D72" s="26" t="s">
        <v>632</v>
      </c>
      <c r="E72" s="25" t="s">
        <v>1150</v>
      </c>
      <c r="F72" s="26" t="s">
        <v>1151</v>
      </c>
      <c r="G72" s="26" t="s">
        <v>1152</v>
      </c>
      <c r="H72" s="26" t="s">
        <v>666</v>
      </c>
      <c r="I72" s="26" t="s">
        <v>676</v>
      </c>
      <c r="J72" s="26" t="s">
        <v>1153</v>
      </c>
      <c r="K72" s="26" t="s">
        <v>1154</v>
      </c>
      <c r="L72" s="26"/>
      <c r="M72" s="26"/>
      <c r="N72" s="26" t="s">
        <v>1155</v>
      </c>
      <c r="O72" s="26" t="s">
        <v>666</v>
      </c>
    </row>
    <row r="73" customFormat="false" ht="39.75" hidden="false" customHeight="true" outlineLevel="0" collapsed="false">
      <c r="A73" s="27" t="s">
        <v>549</v>
      </c>
      <c r="B73" s="28" t="s">
        <v>550</v>
      </c>
      <c r="C73" s="28" t="s">
        <v>631</v>
      </c>
      <c r="D73" s="28" t="s">
        <v>632</v>
      </c>
      <c r="E73" s="27" t="s">
        <v>1156</v>
      </c>
      <c r="F73" s="28" t="s">
        <v>1157</v>
      </c>
      <c r="G73" s="28" t="s">
        <v>1158</v>
      </c>
      <c r="H73" s="28" t="s">
        <v>734</v>
      </c>
      <c r="I73" s="28" t="s">
        <v>685</v>
      </c>
      <c r="J73" s="28" t="s">
        <v>1159</v>
      </c>
      <c r="K73" s="28" t="s">
        <v>1160</v>
      </c>
      <c r="L73" s="28"/>
      <c r="M73" s="28" t="s">
        <v>1161</v>
      </c>
      <c r="N73" s="28" t="s">
        <v>1162</v>
      </c>
      <c r="O73" s="28" t="s">
        <v>740</v>
      </c>
    </row>
    <row r="74" customFormat="false" ht="39.75" hidden="false" customHeight="true" outlineLevel="0" collapsed="false">
      <c r="A74" s="25" t="s">
        <v>549</v>
      </c>
      <c r="B74" s="26" t="s">
        <v>550</v>
      </c>
      <c r="C74" s="26" t="s">
        <v>633</v>
      </c>
      <c r="D74" s="26" t="s">
        <v>634</v>
      </c>
      <c r="E74" s="25" t="s">
        <v>1163</v>
      </c>
      <c r="F74" s="26" t="s">
        <v>1164</v>
      </c>
      <c r="G74" s="26" t="s">
        <v>1165</v>
      </c>
      <c r="H74" s="26" t="s">
        <v>666</v>
      </c>
      <c r="I74" s="26" t="s">
        <v>676</v>
      </c>
      <c r="J74" s="26" t="s">
        <v>1166</v>
      </c>
      <c r="K74" s="26" t="s">
        <v>1167</v>
      </c>
      <c r="L74" s="26"/>
      <c r="M74" s="26"/>
      <c r="N74" s="26" t="s">
        <v>1168</v>
      </c>
      <c r="O74" s="26" t="s">
        <v>666</v>
      </c>
    </row>
    <row r="75" customFormat="false" ht="39.75" hidden="false" customHeight="true" outlineLevel="0" collapsed="false">
      <c r="A75" s="25" t="s">
        <v>549</v>
      </c>
      <c r="B75" s="26" t="s">
        <v>550</v>
      </c>
      <c r="C75" s="26" t="s">
        <v>635</v>
      </c>
      <c r="D75" s="26" t="s">
        <v>636</v>
      </c>
      <c r="E75" s="25" t="s">
        <v>1169</v>
      </c>
      <c r="F75" s="26" t="s">
        <v>1170</v>
      </c>
      <c r="G75" s="26" t="s">
        <v>1171</v>
      </c>
      <c r="H75" s="26" t="s">
        <v>666</v>
      </c>
      <c r="I75" s="26" t="s">
        <v>676</v>
      </c>
      <c r="J75" s="26" t="s">
        <v>1172</v>
      </c>
      <c r="K75" s="26" t="s">
        <v>1173</v>
      </c>
      <c r="L75" s="26" t="s">
        <v>1174</v>
      </c>
      <c r="M75" s="26"/>
      <c r="N75" s="26" t="s">
        <v>1175</v>
      </c>
      <c r="O75" s="26" t="s">
        <v>666</v>
      </c>
    </row>
    <row r="76" customFormat="false" ht="39.75" hidden="false" customHeight="true" outlineLevel="0" collapsed="false">
      <c r="A76" s="27" t="s">
        <v>549</v>
      </c>
      <c r="B76" s="28" t="s">
        <v>550</v>
      </c>
      <c r="C76" s="28" t="s">
        <v>635</v>
      </c>
      <c r="D76" s="28" t="s">
        <v>636</v>
      </c>
      <c r="E76" s="27" t="s">
        <v>1176</v>
      </c>
      <c r="F76" s="28" t="s">
        <v>1177</v>
      </c>
      <c r="G76" s="28" t="s">
        <v>1178</v>
      </c>
      <c r="H76" s="28" t="s">
        <v>666</v>
      </c>
      <c r="I76" s="28" t="s">
        <v>685</v>
      </c>
      <c r="J76" s="28" t="s">
        <v>1179</v>
      </c>
      <c r="K76" s="28" t="s">
        <v>767</v>
      </c>
      <c r="L76" s="28"/>
      <c r="M76" s="28"/>
      <c r="N76" s="28" t="s">
        <v>1180</v>
      </c>
      <c r="O76" s="28" t="s">
        <v>666</v>
      </c>
    </row>
    <row r="77" customFormat="false" ht="39.75" hidden="false" customHeight="true" outlineLevel="0" collapsed="false">
      <c r="A77" s="25" t="s">
        <v>549</v>
      </c>
      <c r="B77" s="26" t="s">
        <v>550</v>
      </c>
      <c r="C77" s="26" t="s">
        <v>637</v>
      </c>
      <c r="D77" s="26" t="s">
        <v>638</v>
      </c>
      <c r="E77" s="25" t="s">
        <v>1181</v>
      </c>
      <c r="F77" s="26" t="s">
        <v>1182</v>
      </c>
      <c r="G77" s="26" t="s">
        <v>1183</v>
      </c>
      <c r="H77" s="26" t="s">
        <v>666</v>
      </c>
      <c r="I77" s="26" t="s">
        <v>676</v>
      </c>
      <c r="J77" s="26" t="s">
        <v>1184</v>
      </c>
      <c r="K77" s="26" t="s">
        <v>1185</v>
      </c>
      <c r="L77" s="26"/>
      <c r="M77" s="26" t="s">
        <v>1186</v>
      </c>
      <c r="N77" s="26" t="s">
        <v>1187</v>
      </c>
      <c r="O77" s="26" t="s">
        <v>666</v>
      </c>
    </row>
    <row r="78" customFormat="false" ht="39.75" hidden="false" customHeight="true" outlineLevel="0" collapsed="false">
      <c r="A78" s="21" t="s">
        <v>549</v>
      </c>
      <c r="B78" s="22" t="s">
        <v>550</v>
      </c>
      <c r="C78" s="22" t="s">
        <v>639</v>
      </c>
      <c r="D78" s="22" t="s">
        <v>640</v>
      </c>
      <c r="E78" s="21" t="s">
        <v>1188</v>
      </c>
      <c r="F78" s="22" t="s">
        <v>1189</v>
      </c>
      <c r="G78" s="22" t="s">
        <v>1190</v>
      </c>
      <c r="H78" s="22" t="s">
        <v>666</v>
      </c>
      <c r="I78" s="22" t="s">
        <v>1191</v>
      </c>
      <c r="J78" s="22" t="s">
        <v>1192</v>
      </c>
      <c r="K78" s="22" t="s">
        <v>1193</v>
      </c>
      <c r="L78" s="22"/>
      <c r="M78" s="22" t="s">
        <v>1194</v>
      </c>
      <c r="N78" s="22" t="s">
        <v>1195</v>
      </c>
      <c r="O78" s="22" t="s">
        <v>666</v>
      </c>
    </row>
    <row r="79" customFormat="false" ht="39.75" hidden="false" customHeight="true" outlineLevel="0" collapsed="false">
      <c r="A79" s="25" t="s">
        <v>554</v>
      </c>
      <c r="B79" s="26" t="s">
        <v>555</v>
      </c>
      <c r="C79" s="26" t="s">
        <v>641</v>
      </c>
      <c r="D79" s="26" t="s">
        <v>642</v>
      </c>
      <c r="E79" s="25" t="s">
        <v>1196</v>
      </c>
      <c r="F79" s="26" t="s">
        <v>1197</v>
      </c>
      <c r="G79" s="26" t="s">
        <v>1198</v>
      </c>
      <c r="H79" s="26" t="s">
        <v>666</v>
      </c>
      <c r="I79" s="26" t="s">
        <v>676</v>
      </c>
      <c r="J79" s="26" t="s">
        <v>1199</v>
      </c>
      <c r="K79" s="26" t="s">
        <v>1200</v>
      </c>
      <c r="L79" s="26"/>
      <c r="M79" s="26"/>
      <c r="N79" s="26" t="s">
        <v>1201</v>
      </c>
      <c r="O79" s="26" t="s">
        <v>666</v>
      </c>
    </row>
    <row r="80" customFormat="false" ht="39.75" hidden="false" customHeight="true" outlineLevel="0" collapsed="false">
      <c r="A80" s="27" t="s">
        <v>554</v>
      </c>
      <c r="B80" s="28" t="s">
        <v>555</v>
      </c>
      <c r="C80" s="28" t="s">
        <v>641</v>
      </c>
      <c r="D80" s="28" t="s">
        <v>642</v>
      </c>
      <c r="E80" s="27" t="s">
        <v>1202</v>
      </c>
      <c r="F80" s="28" t="s">
        <v>1203</v>
      </c>
      <c r="G80" s="28" t="s">
        <v>1204</v>
      </c>
      <c r="H80" s="28" t="s">
        <v>666</v>
      </c>
      <c r="I80" s="28" t="s">
        <v>685</v>
      </c>
      <c r="J80" s="28" t="s">
        <v>1205</v>
      </c>
      <c r="K80" s="28" t="s">
        <v>1206</v>
      </c>
      <c r="L80" s="28"/>
      <c r="M80" s="28" t="s">
        <v>1207</v>
      </c>
      <c r="N80" s="28" t="s">
        <v>1208</v>
      </c>
      <c r="O80" s="28" t="s">
        <v>666</v>
      </c>
    </row>
    <row r="81" customFormat="false" ht="39.75" hidden="false" customHeight="true" outlineLevel="0" collapsed="false">
      <c r="A81" s="27" t="s">
        <v>554</v>
      </c>
      <c r="B81" s="28" t="s">
        <v>555</v>
      </c>
      <c r="C81" s="28" t="s">
        <v>641</v>
      </c>
      <c r="D81" s="28" t="s">
        <v>642</v>
      </c>
      <c r="E81" s="27" t="s">
        <v>1209</v>
      </c>
      <c r="F81" s="28" t="s">
        <v>1210</v>
      </c>
      <c r="G81" s="28" t="s">
        <v>1211</v>
      </c>
      <c r="H81" s="28" t="s">
        <v>666</v>
      </c>
      <c r="I81" s="28" t="s">
        <v>685</v>
      </c>
      <c r="J81" s="28" t="s">
        <v>1212</v>
      </c>
      <c r="K81" s="28" t="s">
        <v>1213</v>
      </c>
      <c r="L81" s="28"/>
      <c r="M81" s="28" t="s">
        <v>1214</v>
      </c>
      <c r="N81" s="28" t="s">
        <v>1215</v>
      </c>
      <c r="O81" s="28" t="s">
        <v>666</v>
      </c>
    </row>
    <row r="82" customFormat="false" ht="39.75" hidden="false" customHeight="true" outlineLevel="0" collapsed="false">
      <c r="A82" s="25" t="s">
        <v>554</v>
      </c>
      <c r="B82" s="26" t="s">
        <v>555</v>
      </c>
      <c r="C82" s="26" t="s">
        <v>643</v>
      </c>
      <c r="D82" s="26" t="s">
        <v>644</v>
      </c>
      <c r="E82" s="25" t="s">
        <v>1216</v>
      </c>
      <c r="F82" s="26" t="s">
        <v>1217</v>
      </c>
      <c r="G82" s="26" t="s">
        <v>1218</v>
      </c>
      <c r="H82" s="26" t="s">
        <v>801</v>
      </c>
      <c r="I82" s="26" t="s">
        <v>676</v>
      </c>
      <c r="J82" s="26" t="s">
        <v>1219</v>
      </c>
      <c r="K82" s="26" t="s">
        <v>1220</v>
      </c>
      <c r="L82" s="26" t="s">
        <v>1221</v>
      </c>
      <c r="M82" s="26"/>
      <c r="N82" s="26" t="s">
        <v>1222</v>
      </c>
      <c r="O82" s="26" t="s">
        <v>666</v>
      </c>
    </row>
    <row r="83" customFormat="false" ht="39.75" hidden="false" customHeight="true" outlineLevel="0" collapsed="false">
      <c r="A83" s="27" t="s">
        <v>554</v>
      </c>
      <c r="B83" s="28" t="s">
        <v>555</v>
      </c>
      <c r="C83" s="28" t="s">
        <v>643</v>
      </c>
      <c r="D83" s="28" t="s">
        <v>644</v>
      </c>
      <c r="E83" s="27" t="s">
        <v>1223</v>
      </c>
      <c r="F83" s="28" t="s">
        <v>1224</v>
      </c>
      <c r="G83" s="28" t="s">
        <v>1225</v>
      </c>
      <c r="H83" s="28" t="s">
        <v>666</v>
      </c>
      <c r="I83" s="28" t="s">
        <v>685</v>
      </c>
      <c r="J83" s="28" t="s">
        <v>1226</v>
      </c>
      <c r="K83" s="28" t="s">
        <v>1227</v>
      </c>
      <c r="L83" s="28"/>
      <c r="M83" s="28"/>
      <c r="N83" s="28" t="s">
        <v>1228</v>
      </c>
      <c r="O83" s="28" t="s">
        <v>666</v>
      </c>
    </row>
    <row r="84" customFormat="false" ht="39.75" hidden="false" customHeight="true" outlineLevel="0" collapsed="false">
      <c r="A84" s="27" t="s">
        <v>559</v>
      </c>
      <c r="B84" s="28" t="s">
        <v>560</v>
      </c>
      <c r="C84" s="28" t="s">
        <v>645</v>
      </c>
      <c r="D84" s="28" t="s">
        <v>646</v>
      </c>
      <c r="E84" s="27" t="s">
        <v>1229</v>
      </c>
      <c r="F84" s="28" t="s">
        <v>1230</v>
      </c>
      <c r="G84" s="28" t="s">
        <v>1231</v>
      </c>
      <c r="H84" s="28" t="s">
        <v>666</v>
      </c>
      <c r="I84" s="28" t="s">
        <v>685</v>
      </c>
      <c r="J84" s="28" t="s">
        <v>1232</v>
      </c>
      <c r="K84" s="28" t="s">
        <v>1233</v>
      </c>
      <c r="L84" s="28"/>
      <c r="M84" s="28"/>
      <c r="N84" s="28" t="s">
        <v>1234</v>
      </c>
      <c r="O84" s="28" t="s">
        <v>666</v>
      </c>
    </row>
    <row r="85" customFormat="false" ht="39.75" hidden="false" customHeight="true" outlineLevel="0" collapsed="false">
      <c r="A85" s="27" t="s">
        <v>559</v>
      </c>
      <c r="B85" s="28" t="s">
        <v>560</v>
      </c>
      <c r="C85" s="28" t="s">
        <v>647</v>
      </c>
      <c r="D85" s="28" t="s">
        <v>648</v>
      </c>
      <c r="E85" s="27" t="s">
        <v>1235</v>
      </c>
      <c r="F85" s="28" t="s">
        <v>1236</v>
      </c>
      <c r="G85" s="28" t="s">
        <v>1237</v>
      </c>
      <c r="H85" s="28" t="s">
        <v>666</v>
      </c>
      <c r="I85" s="28" t="s">
        <v>685</v>
      </c>
      <c r="J85" s="28" t="s">
        <v>1238</v>
      </c>
      <c r="K85" s="28" t="s">
        <v>1239</v>
      </c>
      <c r="L85" s="28"/>
      <c r="M85" s="28"/>
      <c r="N85" s="28" t="s">
        <v>1240</v>
      </c>
      <c r="O85" s="28" t="s">
        <v>666</v>
      </c>
    </row>
    <row r="86" customFormat="false" ht="39.75" hidden="false" customHeight="true" outlineLevel="0" collapsed="false">
      <c r="A86" s="21" t="s">
        <v>559</v>
      </c>
      <c r="B86" s="22" t="s">
        <v>560</v>
      </c>
      <c r="C86" s="22" t="s">
        <v>649</v>
      </c>
      <c r="D86" s="22" t="s">
        <v>650</v>
      </c>
      <c r="E86" s="21" t="s">
        <v>1241</v>
      </c>
      <c r="F86" s="22" t="s">
        <v>1242</v>
      </c>
      <c r="G86" s="22" t="s">
        <v>1243</v>
      </c>
      <c r="H86" s="22" t="s">
        <v>666</v>
      </c>
      <c r="I86" s="22" t="s">
        <v>1191</v>
      </c>
      <c r="J86" s="22" t="s">
        <v>1244</v>
      </c>
      <c r="K86" s="22" t="s">
        <v>1245</v>
      </c>
      <c r="L86" s="22"/>
      <c r="M86" s="22"/>
      <c r="N86" s="22" t="s">
        <v>1246</v>
      </c>
      <c r="O86" s="22" t="s">
        <v>666</v>
      </c>
    </row>
  </sheetData>
  <autoFilter ref="A1:O86"/>
  <dataValidations count="3">
    <dataValidation allowBlank="false" errorStyle="stop" operator="between" showDropDown="false" showErrorMessage="false" showInputMessage="false" sqref="I2:I86" type="list">
      <formula1>"V1-pilote,V1,V1.1,Plus tard"</formula1>
      <formula2>0</formula2>
    </dataValidation>
    <dataValidation allowBlank="false" errorStyle="stop" operator="between" showDropDown="false" showErrorMessage="false" showInputMessage="false" sqref="H2:H86" type="list">
      <formula1>"positive_only_critical,standard,emotional,respect"</formula1>
      <formula2>0</formula2>
    </dataValidation>
    <dataValidation allowBlank="false" errorStyle="stop" operator="between" showDropDown="false" showErrorMessage="false" showInputMessage="false" sqref="O2:O86" type="list">
      <formula1>"standard,enhanced,specialist"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22-Leçons</oddHeader>
    <oddFooter>&amp;RPage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36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42"/>
    <col collapsed="false" customWidth="true" hidden="false" outlineLevel="0" max="9" min="9" style="0" width="32"/>
  </cols>
  <sheetData>
    <row r="2" customFormat="false" ht="22.05" hidden="false" customHeight="false" outlineLevel="0" collapsed="false">
      <c r="B2" s="5" t="s">
        <v>1247</v>
      </c>
    </row>
    <row r="4" customFormat="false" ht="21.75" hidden="false" customHeight="true" outlineLevel="0" collapsed="false">
      <c r="A4" s="6" t="s">
        <v>653</v>
      </c>
      <c r="B4" s="6" t="s">
        <v>48</v>
      </c>
      <c r="C4" s="6" t="s">
        <v>657</v>
      </c>
      <c r="D4" s="6" t="s">
        <v>658</v>
      </c>
      <c r="E4" s="6" t="s">
        <v>1248</v>
      </c>
      <c r="F4" s="6" t="s">
        <v>1249</v>
      </c>
      <c r="G4" s="6" t="s">
        <v>1250</v>
      </c>
      <c r="H4" s="6" t="s">
        <v>1251</v>
      </c>
      <c r="I4" s="6" t="s">
        <v>1252</v>
      </c>
    </row>
    <row r="5" customFormat="false" ht="55.5" hidden="false" customHeight="true" outlineLevel="0" collapsed="false">
      <c r="A5" s="23" t="s">
        <v>731</v>
      </c>
      <c r="B5" s="24" t="s">
        <v>1253</v>
      </c>
      <c r="C5" s="24" t="s">
        <v>1254</v>
      </c>
      <c r="D5" s="24" t="s">
        <v>1255</v>
      </c>
      <c r="E5" s="24" t="s">
        <v>1256</v>
      </c>
      <c r="F5" s="24" t="s">
        <v>1257</v>
      </c>
      <c r="G5" s="24" t="s">
        <v>1258</v>
      </c>
      <c r="H5" s="24" t="s">
        <v>1259</v>
      </c>
      <c r="I5" s="24" t="s">
        <v>1260</v>
      </c>
    </row>
    <row r="6" customFormat="false" ht="55.5" hidden="false" customHeight="true" outlineLevel="0" collapsed="false">
      <c r="A6" s="23" t="s">
        <v>741</v>
      </c>
      <c r="B6" s="24" t="s">
        <v>1261</v>
      </c>
      <c r="C6" s="24" t="s">
        <v>1262</v>
      </c>
      <c r="D6" s="24" t="s">
        <v>1263</v>
      </c>
      <c r="E6" s="24" t="s">
        <v>1256</v>
      </c>
      <c r="F6" s="24" t="s">
        <v>1264</v>
      </c>
      <c r="G6" s="24" t="s">
        <v>1265</v>
      </c>
      <c r="H6" s="24" t="s">
        <v>1266</v>
      </c>
      <c r="I6" s="24" t="s">
        <v>1267</v>
      </c>
    </row>
    <row r="7" customFormat="false" ht="55.5" hidden="false" customHeight="true" outlineLevel="0" collapsed="false">
      <c r="A7" s="23" t="s">
        <v>777</v>
      </c>
      <c r="B7" s="24" t="s">
        <v>1268</v>
      </c>
      <c r="C7" s="24" t="s">
        <v>1269</v>
      </c>
      <c r="D7" s="24" t="s">
        <v>1270</v>
      </c>
      <c r="E7" s="24" t="s">
        <v>1271</v>
      </c>
      <c r="F7" s="24" t="s">
        <v>1272</v>
      </c>
      <c r="G7" s="24" t="s">
        <v>1273</v>
      </c>
      <c r="H7" s="24" t="s">
        <v>1274</v>
      </c>
      <c r="I7" s="24" t="s">
        <v>1275</v>
      </c>
    </row>
    <row r="8" customFormat="false" ht="55.5" hidden="false" customHeight="true" outlineLevel="0" collapsed="false">
      <c r="A8" s="23" t="s">
        <v>883</v>
      </c>
      <c r="B8" s="24" t="s">
        <v>1276</v>
      </c>
      <c r="C8" s="24" t="s">
        <v>1277</v>
      </c>
      <c r="D8" s="24" t="s">
        <v>1278</v>
      </c>
      <c r="E8" s="24" t="s">
        <v>1256</v>
      </c>
      <c r="F8" s="24" t="s">
        <v>1279</v>
      </c>
      <c r="G8" s="24" t="s">
        <v>1280</v>
      </c>
      <c r="H8" s="24" t="s">
        <v>1281</v>
      </c>
      <c r="I8" s="24" t="s">
        <v>1282</v>
      </c>
    </row>
    <row r="9" customFormat="false" ht="55.5" hidden="false" customHeight="true" outlineLevel="0" collapsed="false">
      <c r="A9" s="23" t="s">
        <v>896</v>
      </c>
      <c r="B9" s="24" t="s">
        <v>1283</v>
      </c>
      <c r="C9" s="24" t="s">
        <v>1284</v>
      </c>
      <c r="D9" s="24" t="s">
        <v>1285</v>
      </c>
      <c r="E9" s="24" t="s">
        <v>1256</v>
      </c>
      <c r="F9" s="24" t="s">
        <v>1286</v>
      </c>
      <c r="G9" s="24" t="s">
        <v>1287</v>
      </c>
      <c r="H9" s="24" t="s">
        <v>1288</v>
      </c>
      <c r="I9" s="24" t="s">
        <v>1289</v>
      </c>
    </row>
    <row r="10" customFormat="false" ht="55.5" hidden="false" customHeight="true" outlineLevel="0" collapsed="false">
      <c r="A10" s="23" t="s">
        <v>827</v>
      </c>
      <c r="B10" s="24" t="s">
        <v>1290</v>
      </c>
      <c r="C10" s="24" t="s">
        <v>1291</v>
      </c>
      <c r="D10" s="24" t="s">
        <v>1292</v>
      </c>
      <c r="E10" s="24" t="s">
        <v>1256</v>
      </c>
      <c r="F10" s="24" t="s">
        <v>1293</v>
      </c>
      <c r="G10" s="24" t="s">
        <v>1294</v>
      </c>
      <c r="H10" s="24" t="s">
        <v>1295</v>
      </c>
      <c r="I10" s="24" t="s">
        <v>1296</v>
      </c>
    </row>
    <row r="11" customFormat="false" ht="55.5" hidden="false" customHeight="true" outlineLevel="0" collapsed="false">
      <c r="A11" s="23" t="s">
        <v>870</v>
      </c>
      <c r="B11" s="24" t="s">
        <v>1297</v>
      </c>
      <c r="C11" s="24" t="s">
        <v>1298</v>
      </c>
      <c r="D11" s="24" t="s">
        <v>1299</v>
      </c>
      <c r="E11" s="24" t="s">
        <v>1256</v>
      </c>
      <c r="F11" s="24" t="s">
        <v>1300</v>
      </c>
      <c r="G11" s="24" t="s">
        <v>1301</v>
      </c>
      <c r="H11" s="24" t="s">
        <v>1302</v>
      </c>
      <c r="I11" s="24"/>
    </row>
    <row r="12" customFormat="false" ht="55.5" hidden="false" customHeight="true" outlineLevel="0" collapsed="false">
      <c r="A12" s="23" t="s">
        <v>955</v>
      </c>
      <c r="B12" s="24" t="s">
        <v>1303</v>
      </c>
      <c r="C12" s="24" t="s">
        <v>1304</v>
      </c>
      <c r="D12" s="24" t="s">
        <v>1305</v>
      </c>
      <c r="E12" s="24" t="s">
        <v>1256</v>
      </c>
      <c r="F12" s="24" t="s">
        <v>1306</v>
      </c>
      <c r="G12" s="24" t="s">
        <v>1307</v>
      </c>
      <c r="H12" s="24" t="s">
        <v>1308</v>
      </c>
      <c r="I12" s="24" t="s">
        <v>961</v>
      </c>
    </row>
    <row r="13" customFormat="false" ht="55.5" hidden="false" customHeight="true" outlineLevel="0" collapsed="false">
      <c r="A13" s="23" t="s">
        <v>991</v>
      </c>
      <c r="B13" s="24" t="s">
        <v>1309</v>
      </c>
      <c r="C13" s="24" t="s">
        <v>1310</v>
      </c>
      <c r="D13" s="24" t="s">
        <v>1311</v>
      </c>
      <c r="E13" s="24" t="s">
        <v>1256</v>
      </c>
      <c r="F13" s="24" t="s">
        <v>1312</v>
      </c>
      <c r="G13" s="24" t="s">
        <v>1313</v>
      </c>
      <c r="H13" s="24" t="s">
        <v>1314</v>
      </c>
      <c r="I13" s="24" t="s">
        <v>1315</v>
      </c>
    </row>
    <row r="14" customFormat="false" ht="55.5" hidden="false" customHeight="true" outlineLevel="0" collapsed="false">
      <c r="A14" s="23" t="s">
        <v>927</v>
      </c>
      <c r="B14" s="24" t="s">
        <v>1316</v>
      </c>
      <c r="C14" s="24" t="s">
        <v>1317</v>
      </c>
      <c r="D14" s="24" t="s">
        <v>1318</v>
      </c>
      <c r="E14" s="24" t="s">
        <v>1256</v>
      </c>
      <c r="F14" s="24" t="s">
        <v>1319</v>
      </c>
      <c r="G14" s="24" t="s">
        <v>1320</v>
      </c>
      <c r="H14" s="24" t="s">
        <v>1321</v>
      </c>
      <c r="I14" s="24" t="s">
        <v>1322</v>
      </c>
    </row>
    <row r="15" customFormat="false" ht="55.5" hidden="false" customHeight="true" outlineLevel="0" collapsed="false">
      <c r="A15" s="23" t="s">
        <v>936</v>
      </c>
      <c r="B15" s="24" t="s">
        <v>1323</v>
      </c>
      <c r="C15" s="24" t="s">
        <v>1324</v>
      </c>
      <c r="D15" s="24" t="s">
        <v>1325</v>
      </c>
      <c r="E15" s="24" t="s">
        <v>1256</v>
      </c>
      <c r="F15" s="24" t="s">
        <v>1326</v>
      </c>
      <c r="G15" s="24" t="s">
        <v>1327</v>
      </c>
      <c r="H15" s="24" t="s">
        <v>1328</v>
      </c>
      <c r="I15" s="24" t="s">
        <v>1329</v>
      </c>
    </row>
    <row r="16" customFormat="false" ht="55.5" hidden="false" customHeight="true" outlineLevel="0" collapsed="false">
      <c r="A16" s="23" t="s">
        <v>1024</v>
      </c>
      <c r="B16" s="24" t="s">
        <v>1330</v>
      </c>
      <c r="C16" s="24" t="s">
        <v>1331</v>
      </c>
      <c r="D16" s="24" t="s">
        <v>1332</v>
      </c>
      <c r="E16" s="24" t="s">
        <v>1256</v>
      </c>
      <c r="F16" s="24" t="s">
        <v>1333</v>
      </c>
      <c r="G16" s="24" t="s">
        <v>1334</v>
      </c>
      <c r="H16" s="24" t="s">
        <v>1335</v>
      </c>
      <c r="I16" s="24"/>
    </row>
  </sheetData>
  <autoFilter ref="A1:I16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23-Fiches-pilote</oddHeader>
    <oddFooter>&amp;RPage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62"/>
  </cols>
  <sheetData>
    <row r="2" customFormat="false" ht="22.05" hidden="false" customHeight="false" outlineLevel="0" collapsed="false">
      <c r="B2" s="5" t="s">
        <v>1336</v>
      </c>
    </row>
    <row r="4" customFormat="false" ht="21.75" hidden="false" customHeight="true" outlineLevel="0" collapsed="false">
      <c r="A4" s="6" t="s">
        <v>1337</v>
      </c>
      <c r="B4" s="6" t="s">
        <v>1338</v>
      </c>
      <c r="C4" s="6" t="s">
        <v>1339</v>
      </c>
      <c r="D4" s="6" t="s">
        <v>1340</v>
      </c>
      <c r="E4" s="6" t="s">
        <v>1341</v>
      </c>
    </row>
    <row r="5" customFormat="false" ht="27.75" hidden="false" customHeight="true" outlineLevel="0" collapsed="false">
      <c r="A5" s="23" t="s">
        <v>1342</v>
      </c>
      <c r="B5" s="24" t="s">
        <v>731</v>
      </c>
      <c r="C5" s="24" t="s">
        <v>1343</v>
      </c>
      <c r="D5" s="24" t="s">
        <v>1344</v>
      </c>
      <c r="E5" s="24" t="s">
        <v>1345</v>
      </c>
    </row>
    <row r="6" customFormat="false" ht="27.75" hidden="false" customHeight="true" outlineLevel="0" collapsed="false">
      <c r="A6" s="9" t="s">
        <v>1346</v>
      </c>
      <c r="B6" s="10" t="s">
        <v>741</v>
      </c>
      <c r="C6" s="10" t="s">
        <v>1343</v>
      </c>
      <c r="D6" s="10" t="s">
        <v>1344</v>
      </c>
      <c r="E6" s="10" t="s">
        <v>1347</v>
      </c>
    </row>
    <row r="7" customFormat="false" ht="27.75" hidden="false" customHeight="true" outlineLevel="0" collapsed="false">
      <c r="A7" s="23" t="s">
        <v>1348</v>
      </c>
      <c r="B7" s="24" t="s">
        <v>777</v>
      </c>
      <c r="C7" s="24" t="s">
        <v>1349</v>
      </c>
      <c r="D7" s="24" t="s">
        <v>1350</v>
      </c>
      <c r="E7" s="24" t="s">
        <v>1351</v>
      </c>
    </row>
    <row r="8" customFormat="false" ht="27.75" hidden="false" customHeight="true" outlineLevel="0" collapsed="false">
      <c r="A8" s="9" t="s">
        <v>1352</v>
      </c>
      <c r="B8" s="10" t="s">
        <v>212</v>
      </c>
      <c r="C8" s="10" t="s">
        <v>1353</v>
      </c>
      <c r="D8" s="10" t="s">
        <v>1354</v>
      </c>
      <c r="E8" s="10" t="s">
        <v>1355</v>
      </c>
    </row>
    <row r="9" customFormat="false" ht="27.75" hidden="false" customHeight="true" outlineLevel="0" collapsed="false">
      <c r="A9" s="23" t="s">
        <v>1356</v>
      </c>
      <c r="B9" s="24" t="s">
        <v>883</v>
      </c>
      <c r="C9" s="24" t="s">
        <v>1357</v>
      </c>
      <c r="D9" s="24" t="s">
        <v>1344</v>
      </c>
      <c r="E9" s="24" t="s">
        <v>1358</v>
      </c>
    </row>
    <row r="10" customFormat="false" ht="27.75" hidden="false" customHeight="true" outlineLevel="0" collapsed="false">
      <c r="A10" s="9" t="s">
        <v>1359</v>
      </c>
      <c r="B10" s="10" t="s">
        <v>896</v>
      </c>
      <c r="C10" s="10" t="s">
        <v>1357</v>
      </c>
      <c r="D10" s="10" t="s">
        <v>1344</v>
      </c>
      <c r="E10" s="10" t="s">
        <v>1360</v>
      </c>
    </row>
    <row r="11" customFormat="false" ht="27.75" hidden="false" customHeight="true" outlineLevel="0" collapsed="false">
      <c r="A11" s="23" t="s">
        <v>1290</v>
      </c>
      <c r="B11" s="24" t="s">
        <v>827</v>
      </c>
      <c r="C11" s="24" t="s">
        <v>1361</v>
      </c>
      <c r="D11" s="24" t="s">
        <v>1344</v>
      </c>
      <c r="E11" s="24" t="s">
        <v>1362</v>
      </c>
    </row>
    <row r="12" customFormat="false" ht="27.75" hidden="false" customHeight="true" outlineLevel="0" collapsed="false">
      <c r="A12" s="9" t="s">
        <v>1363</v>
      </c>
      <c r="B12" s="10" t="s">
        <v>870</v>
      </c>
      <c r="C12" s="10" t="s">
        <v>1364</v>
      </c>
      <c r="D12" s="10" t="s">
        <v>1365</v>
      </c>
      <c r="E12" s="10" t="s">
        <v>1366</v>
      </c>
    </row>
    <row r="13" customFormat="false" ht="27.75" hidden="false" customHeight="true" outlineLevel="0" collapsed="false">
      <c r="A13" s="23" t="s">
        <v>1367</v>
      </c>
      <c r="B13" s="24" t="s">
        <v>955</v>
      </c>
      <c r="C13" s="24" t="s">
        <v>1368</v>
      </c>
      <c r="D13" s="24" t="s">
        <v>1369</v>
      </c>
      <c r="E13" s="24" t="s">
        <v>1370</v>
      </c>
    </row>
    <row r="14" customFormat="false" ht="27.75" hidden="false" customHeight="true" outlineLevel="0" collapsed="false">
      <c r="A14" s="9" t="s">
        <v>1371</v>
      </c>
      <c r="B14" s="10" t="s">
        <v>991</v>
      </c>
      <c r="C14" s="10" t="s">
        <v>1368</v>
      </c>
      <c r="D14" s="10" t="s">
        <v>1369</v>
      </c>
      <c r="E14" s="10" t="s">
        <v>1372</v>
      </c>
    </row>
    <row r="15" customFormat="false" ht="27.75" hidden="false" customHeight="true" outlineLevel="0" collapsed="false">
      <c r="A15" s="23" t="s">
        <v>1373</v>
      </c>
      <c r="B15" s="24" t="s">
        <v>1374</v>
      </c>
      <c r="C15" s="24" t="s">
        <v>1368</v>
      </c>
      <c r="D15" s="24" t="s">
        <v>1375</v>
      </c>
      <c r="E15" s="24" t="s">
        <v>1376</v>
      </c>
    </row>
    <row r="16" customFormat="false" ht="27.75" hidden="false" customHeight="true" outlineLevel="0" collapsed="false">
      <c r="A16" s="9" t="s">
        <v>1377</v>
      </c>
      <c r="B16" s="10" t="s">
        <v>1024</v>
      </c>
      <c r="C16" s="10" t="s">
        <v>1378</v>
      </c>
      <c r="D16" s="10" t="s">
        <v>1379</v>
      </c>
      <c r="E16" s="10" t="s">
        <v>1380</v>
      </c>
    </row>
  </sheetData>
  <autoFilter ref="A1:E16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24-Arbre-Parc</oddHeader>
    <oddFooter>&amp;RPage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  <col collapsed="false" customWidth="true" hidden="false" outlineLevel="0" max="6" min="3" style="0" width="14"/>
  </cols>
  <sheetData>
    <row r="2" customFormat="false" ht="22.05" hidden="false" customHeight="false" outlineLevel="0" collapsed="false">
      <c r="B2" s="5" t="s">
        <v>1381</v>
      </c>
    </row>
    <row r="3" customFormat="false" ht="31.5" hidden="false" customHeight="true" outlineLevel="0" collapsed="false">
      <c r="B3" s="2" t="s">
        <v>1382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1383</v>
      </c>
      <c r="C5" s="3"/>
      <c r="D5" s="3"/>
      <c r="E5" s="3"/>
      <c r="F5" s="3"/>
    </row>
    <row r="6" customFormat="false" ht="18" hidden="false" customHeight="true" outlineLevel="0" collapsed="false">
      <c r="B6" s="29" t="s">
        <v>1384</v>
      </c>
      <c r="C6" s="29"/>
      <c r="D6" s="29"/>
      <c r="E6" s="29"/>
      <c r="F6" s="29"/>
    </row>
    <row r="7" customFormat="false" ht="18" hidden="false" customHeight="true" outlineLevel="0" collapsed="false">
      <c r="B7" s="29" t="s">
        <v>1385</v>
      </c>
      <c r="C7" s="29"/>
      <c r="D7" s="29"/>
      <c r="E7" s="29"/>
      <c r="F7" s="29"/>
    </row>
    <row r="8" customFormat="false" ht="18" hidden="false" customHeight="true" outlineLevel="0" collapsed="false">
      <c r="B8" s="29" t="s">
        <v>1386</v>
      </c>
      <c r="C8" s="29"/>
      <c r="D8" s="29"/>
      <c r="E8" s="29"/>
      <c r="F8" s="29"/>
    </row>
    <row r="9" customFormat="false" ht="18" hidden="false" customHeight="true" outlineLevel="0" collapsed="false">
      <c r="B9" s="29" t="s">
        <v>1387</v>
      </c>
      <c r="C9" s="29"/>
      <c r="D9" s="29"/>
      <c r="E9" s="29"/>
      <c r="F9" s="29"/>
    </row>
    <row r="10" customFormat="false" ht="18" hidden="false" customHeight="true" outlineLevel="0" collapsed="false">
      <c r="B10" s="29" t="s">
        <v>1388</v>
      </c>
      <c r="C10" s="29"/>
      <c r="D10" s="29"/>
      <c r="E10" s="29"/>
      <c r="F10" s="29"/>
    </row>
    <row r="11" customFormat="false" ht="18" hidden="false" customHeight="true" outlineLevel="0" collapsed="false">
      <c r="B11" s="29" t="s">
        <v>1389</v>
      </c>
      <c r="C11" s="29"/>
      <c r="D11" s="29"/>
      <c r="E11" s="29"/>
      <c r="F11" s="29"/>
    </row>
    <row r="12" customFormat="false" ht="18" hidden="false" customHeight="true" outlineLevel="0" collapsed="false">
      <c r="B12" s="29" t="s">
        <v>1390</v>
      </c>
      <c r="C12" s="29"/>
      <c r="D12" s="29"/>
      <c r="E12" s="29"/>
      <c r="F12" s="29"/>
    </row>
    <row r="13" customFormat="false" ht="18" hidden="false" customHeight="true" outlineLevel="0" collapsed="false">
      <c r="B13" s="29" t="s">
        <v>1391</v>
      </c>
      <c r="C13" s="29"/>
      <c r="D13" s="29"/>
      <c r="E13" s="29"/>
      <c r="F13" s="29"/>
    </row>
    <row r="14" customFormat="false" ht="18" hidden="false" customHeight="true" outlineLevel="0" collapsed="false">
      <c r="B14" s="29" t="s">
        <v>1392</v>
      </c>
      <c r="C14" s="29"/>
      <c r="D14" s="29"/>
      <c r="E14" s="29"/>
      <c r="F14" s="29"/>
    </row>
    <row r="15" customFormat="false" ht="18" hidden="false" customHeight="true" outlineLevel="0" collapsed="false">
      <c r="B15" s="29" t="s">
        <v>1393</v>
      </c>
      <c r="C15" s="29"/>
      <c r="D15" s="29"/>
      <c r="E15" s="29"/>
      <c r="F15" s="29"/>
    </row>
    <row r="16" customFormat="false" ht="18" hidden="false" customHeight="true" outlineLevel="0" collapsed="false"/>
    <row r="17" customFormat="false" ht="18" hidden="false" customHeight="true" outlineLevel="0" collapsed="false">
      <c r="B17" s="3" t="s">
        <v>1394</v>
      </c>
      <c r="C17" s="3"/>
      <c r="D17" s="3"/>
      <c r="E17" s="3"/>
      <c r="F17" s="3"/>
    </row>
    <row r="18" customFormat="false" ht="18" hidden="false" customHeight="true" outlineLevel="0" collapsed="false">
      <c r="B18" s="29" t="s">
        <v>1395</v>
      </c>
      <c r="C18" s="29"/>
      <c r="D18" s="29"/>
      <c r="E18" s="29"/>
      <c r="F18" s="29"/>
    </row>
    <row r="19" customFormat="false" ht="18" hidden="false" customHeight="true" outlineLevel="0" collapsed="false"/>
    <row r="20" customFormat="false" ht="18" hidden="false" customHeight="true" outlineLevel="0" collapsed="false">
      <c r="B20" s="3" t="s">
        <v>1396</v>
      </c>
      <c r="C20" s="3"/>
      <c r="D20" s="3"/>
      <c r="E20" s="3"/>
      <c r="F20" s="3"/>
    </row>
    <row r="21" customFormat="false" ht="18" hidden="false" customHeight="true" outlineLevel="0" collapsed="false">
      <c r="B21" s="29" t="s">
        <v>1397</v>
      </c>
      <c r="C21" s="29"/>
      <c r="D21" s="29"/>
      <c r="E21" s="29"/>
      <c r="F21" s="29"/>
    </row>
    <row r="22" customFormat="false" ht="18" hidden="false" customHeight="true" outlineLevel="0" collapsed="false"/>
    <row r="23" customFormat="false" ht="18" hidden="false" customHeight="true" outlineLevel="0" collapsed="false">
      <c r="B23" s="3" t="s">
        <v>1398</v>
      </c>
      <c r="C23" s="3"/>
      <c r="D23" s="3"/>
      <c r="E23" s="3"/>
      <c r="F23" s="3"/>
    </row>
    <row r="24" customFormat="false" ht="18" hidden="false" customHeight="true" outlineLevel="0" collapsed="false">
      <c r="B24" s="29" t="s">
        <v>1399</v>
      </c>
      <c r="C24" s="29"/>
      <c r="D24" s="29"/>
      <c r="E24" s="29"/>
      <c r="F24" s="29"/>
    </row>
    <row r="25" customFormat="false" ht="18" hidden="false" customHeight="true" outlineLevel="0" collapsed="false"/>
    <row r="26" customFormat="false" ht="18" hidden="false" customHeight="true" outlineLevel="0" collapsed="false">
      <c r="B26" s="3" t="s">
        <v>1400</v>
      </c>
      <c r="C26" s="3"/>
      <c r="D26" s="3"/>
      <c r="E26" s="3"/>
      <c r="F26" s="3"/>
    </row>
    <row r="27" customFormat="false" ht="18" hidden="false" customHeight="true" outlineLevel="0" collapsed="false">
      <c r="B27" s="29" t="s">
        <v>1401</v>
      </c>
      <c r="C27" s="29"/>
      <c r="D27" s="29"/>
      <c r="E27" s="29"/>
      <c r="F27" s="29"/>
    </row>
    <row r="28" customFormat="false" ht="18" hidden="false" customHeight="true" outlineLevel="0" collapsed="false"/>
    <row r="29" customFormat="false" ht="18" hidden="false" customHeight="true" outlineLevel="0" collapsed="false">
      <c r="B29" s="3" t="s">
        <v>1402</v>
      </c>
      <c r="C29" s="3"/>
      <c r="D29" s="3"/>
      <c r="E29" s="3"/>
      <c r="F29" s="3"/>
    </row>
    <row r="30" customFormat="false" ht="18" hidden="false" customHeight="true" outlineLevel="0" collapsed="false">
      <c r="B30" s="29" t="s">
        <v>1403</v>
      </c>
      <c r="C30" s="29"/>
      <c r="D30" s="29"/>
      <c r="E30" s="29"/>
      <c r="F30" s="29"/>
    </row>
    <row r="31" customFormat="false" ht="18" hidden="false" customHeight="true" outlineLevel="0" collapsed="false"/>
    <row r="32" customFormat="false" ht="18" hidden="false" customHeight="true" outlineLevel="0" collapsed="false">
      <c r="B32" s="3" t="s">
        <v>1404</v>
      </c>
      <c r="C32" s="3"/>
      <c r="D32" s="3"/>
      <c r="E32" s="3"/>
      <c r="F32" s="3"/>
    </row>
    <row r="33" customFormat="false" ht="18" hidden="false" customHeight="true" outlineLevel="0" collapsed="false">
      <c r="B33" s="29" t="s">
        <v>1405</v>
      </c>
      <c r="C33" s="29"/>
      <c r="D33" s="29"/>
      <c r="E33" s="29"/>
      <c r="F33" s="29"/>
    </row>
    <row r="34" customFormat="false" ht="18" hidden="false" customHeight="true" outlineLevel="0" collapsed="false"/>
    <row r="35" customFormat="false" ht="18" hidden="false" customHeight="true" outlineLevel="0" collapsed="false">
      <c r="B35" s="3" t="s">
        <v>434</v>
      </c>
      <c r="C35" s="3"/>
      <c r="D35" s="3"/>
      <c r="E35" s="3"/>
      <c r="F35" s="3"/>
    </row>
    <row r="36" customFormat="false" ht="18" hidden="false" customHeight="true" outlineLevel="0" collapsed="false">
      <c r="B36" s="29" t="s">
        <v>1406</v>
      </c>
      <c r="C36" s="29"/>
      <c r="D36" s="29"/>
      <c r="E36" s="29"/>
      <c r="F36" s="29"/>
    </row>
    <row r="37" customFormat="false" ht="18" hidden="false" customHeight="true" outlineLevel="0" collapsed="false"/>
    <row r="38" customFormat="false" ht="18" hidden="false" customHeight="true" outlineLevel="0" collapsed="false">
      <c r="B38" s="3" t="s">
        <v>1407</v>
      </c>
      <c r="C38" s="3"/>
      <c r="D38" s="3"/>
      <c r="E38" s="3"/>
      <c r="F38" s="3"/>
    </row>
    <row r="39" customFormat="false" ht="18" hidden="false" customHeight="true" outlineLevel="0" collapsed="false">
      <c r="B39" s="29" t="s">
        <v>1408</v>
      </c>
      <c r="C39" s="29"/>
      <c r="D39" s="29"/>
      <c r="E39" s="29"/>
      <c r="F39" s="29"/>
    </row>
  </sheetData>
  <mergeCells count="28">
    <mergeCell ref="B3:F3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F17"/>
    <mergeCell ref="B18:F18"/>
    <mergeCell ref="B20:F20"/>
    <mergeCell ref="B21:F21"/>
    <mergeCell ref="B23:F23"/>
    <mergeCell ref="B24:F24"/>
    <mergeCell ref="B26:F26"/>
    <mergeCell ref="B27:F27"/>
    <mergeCell ref="B29:F29"/>
    <mergeCell ref="B30:F30"/>
    <mergeCell ref="B32:F32"/>
    <mergeCell ref="B33:F33"/>
    <mergeCell ref="B35:F35"/>
    <mergeCell ref="B36:F36"/>
    <mergeCell ref="B38:F38"/>
    <mergeCell ref="B39:F39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30-Strategie-validation</oddHeader>
    <oddFooter>&amp;RPage 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36"/>
    <col collapsed="false" customWidth="true" hidden="false" outlineLevel="0" max="4" min="4" style="0" width="72"/>
    <col collapsed="false" customWidth="true" hidden="false" outlineLevel="0" max="5" min="5" style="0" width="11"/>
    <col collapsed="false" customWidth="true" hidden="false" outlineLevel="0" max="7" min="6" style="0" width="12"/>
  </cols>
  <sheetData>
    <row r="1" customFormat="false" ht="21.75" hidden="false" customHeight="true" outlineLevel="0" collapsed="false">
      <c r="A1" s="6" t="s">
        <v>47</v>
      </c>
      <c r="B1" s="6" t="s">
        <v>1409</v>
      </c>
      <c r="C1" s="6" t="s">
        <v>48</v>
      </c>
      <c r="D1" s="6" t="s">
        <v>202</v>
      </c>
      <c r="E1" s="6" t="s">
        <v>203</v>
      </c>
      <c r="F1" s="6" t="s">
        <v>1410</v>
      </c>
      <c r="G1" s="6" t="s">
        <v>207</v>
      </c>
    </row>
    <row r="2" customFormat="false" ht="39.75" hidden="false" customHeight="true" outlineLevel="0" collapsed="false">
      <c r="A2" s="15" t="s">
        <v>1411</v>
      </c>
      <c r="B2" s="16" t="s">
        <v>1412</v>
      </c>
      <c r="C2" s="16" t="s">
        <v>1413</v>
      </c>
      <c r="D2" s="16" t="s">
        <v>1414</v>
      </c>
      <c r="E2" s="16" t="s">
        <v>36</v>
      </c>
      <c r="F2" s="16" t="s">
        <v>1415</v>
      </c>
      <c r="G2" s="16" t="s">
        <v>40</v>
      </c>
    </row>
    <row r="3" customFormat="false" ht="39.75" hidden="false" customHeight="true" outlineLevel="0" collapsed="false">
      <c r="A3" s="15" t="s">
        <v>1416</v>
      </c>
      <c r="B3" s="16" t="s">
        <v>1412</v>
      </c>
      <c r="C3" s="16" t="s">
        <v>1417</v>
      </c>
      <c r="D3" s="16" t="s">
        <v>1418</v>
      </c>
      <c r="E3" s="16" t="s">
        <v>36</v>
      </c>
      <c r="F3" s="16" t="s">
        <v>1415</v>
      </c>
      <c r="G3" s="16" t="s">
        <v>40</v>
      </c>
    </row>
    <row r="4" customFormat="false" ht="39.75" hidden="false" customHeight="true" outlineLevel="0" collapsed="false">
      <c r="A4" s="15" t="s">
        <v>1419</v>
      </c>
      <c r="B4" s="16" t="s">
        <v>1412</v>
      </c>
      <c r="C4" s="16" t="s">
        <v>1420</v>
      </c>
      <c r="D4" s="16" t="s">
        <v>1421</v>
      </c>
      <c r="E4" s="16" t="s">
        <v>36</v>
      </c>
      <c r="F4" s="16" t="s">
        <v>1415</v>
      </c>
      <c r="G4" s="16" t="s">
        <v>40</v>
      </c>
    </row>
    <row r="5" customFormat="false" ht="39.75" hidden="false" customHeight="true" outlineLevel="0" collapsed="false">
      <c r="A5" s="15" t="s">
        <v>106</v>
      </c>
      <c r="B5" s="16" t="s">
        <v>1412</v>
      </c>
      <c r="C5" s="16" t="s">
        <v>1422</v>
      </c>
      <c r="D5" s="16" t="s">
        <v>1423</v>
      </c>
      <c r="E5" s="16" t="s">
        <v>36</v>
      </c>
      <c r="F5" s="16" t="s">
        <v>1415</v>
      </c>
      <c r="G5" s="16" t="s">
        <v>40</v>
      </c>
    </row>
    <row r="6" customFormat="false" ht="39.75" hidden="false" customHeight="true" outlineLevel="0" collapsed="false">
      <c r="A6" s="15" t="s">
        <v>1424</v>
      </c>
      <c r="B6" s="16" t="s">
        <v>1412</v>
      </c>
      <c r="C6" s="16" t="s">
        <v>1425</v>
      </c>
      <c r="D6" s="16" t="s">
        <v>1426</v>
      </c>
      <c r="E6" s="16" t="s">
        <v>36</v>
      </c>
      <c r="F6" s="16" t="s">
        <v>1415</v>
      </c>
      <c r="G6" s="16" t="s">
        <v>40</v>
      </c>
    </row>
    <row r="7" customFormat="false" ht="39.75" hidden="false" customHeight="true" outlineLevel="0" collapsed="false">
      <c r="A7" s="15" t="s">
        <v>75</v>
      </c>
      <c r="B7" s="16" t="s">
        <v>1427</v>
      </c>
      <c r="C7" s="16" t="s">
        <v>1428</v>
      </c>
      <c r="D7" s="16" t="s">
        <v>1429</v>
      </c>
      <c r="E7" s="16" t="s">
        <v>36</v>
      </c>
      <c r="F7" s="16" t="s">
        <v>1430</v>
      </c>
      <c r="G7" s="16" t="s">
        <v>40</v>
      </c>
    </row>
    <row r="8" customFormat="false" ht="39.75" hidden="false" customHeight="true" outlineLevel="0" collapsed="false">
      <c r="A8" s="15" t="s">
        <v>1431</v>
      </c>
      <c r="B8" s="16" t="s">
        <v>1427</v>
      </c>
      <c r="C8" s="16" t="s">
        <v>1432</v>
      </c>
      <c r="D8" s="16" t="s">
        <v>1433</v>
      </c>
      <c r="E8" s="16" t="s">
        <v>36</v>
      </c>
      <c r="F8" s="16" t="s">
        <v>1434</v>
      </c>
      <c r="G8" s="16" t="s">
        <v>40</v>
      </c>
    </row>
    <row r="9" customFormat="false" ht="39.75" hidden="false" customHeight="true" outlineLevel="0" collapsed="false">
      <c r="A9" s="15" t="s">
        <v>1435</v>
      </c>
      <c r="B9" s="16" t="s">
        <v>1436</v>
      </c>
      <c r="C9" s="16" t="s">
        <v>1437</v>
      </c>
      <c r="D9" s="16" t="s">
        <v>1438</v>
      </c>
      <c r="E9" s="16" t="s">
        <v>36</v>
      </c>
      <c r="F9" s="16" t="s">
        <v>1434</v>
      </c>
      <c r="G9" s="16" t="s">
        <v>40</v>
      </c>
    </row>
    <row r="10" customFormat="false" ht="39.75" hidden="false" customHeight="true" outlineLevel="0" collapsed="false">
      <c r="A10" s="19" t="s">
        <v>1439</v>
      </c>
      <c r="B10" s="20" t="s">
        <v>1436</v>
      </c>
      <c r="C10" s="20" t="s">
        <v>1440</v>
      </c>
      <c r="D10" s="20" t="s">
        <v>1441</v>
      </c>
      <c r="E10" s="20" t="s">
        <v>37</v>
      </c>
      <c r="F10" s="20" t="s">
        <v>1434</v>
      </c>
      <c r="G10" s="20" t="s">
        <v>40</v>
      </c>
    </row>
    <row r="11" customFormat="false" ht="39.75" hidden="false" customHeight="true" outlineLevel="0" collapsed="false">
      <c r="A11" s="19" t="s">
        <v>1442</v>
      </c>
      <c r="B11" s="20" t="s">
        <v>1436</v>
      </c>
      <c r="C11" s="20" t="s">
        <v>1443</v>
      </c>
      <c r="D11" s="20" t="s">
        <v>1444</v>
      </c>
      <c r="E11" s="20" t="s">
        <v>37</v>
      </c>
      <c r="F11" s="20" t="s">
        <v>1434</v>
      </c>
      <c r="G11" s="20" t="s">
        <v>40</v>
      </c>
    </row>
    <row r="12" customFormat="false" ht="39.75" hidden="false" customHeight="true" outlineLevel="0" collapsed="false">
      <c r="A12" s="15" t="s">
        <v>1445</v>
      </c>
      <c r="B12" s="16" t="s">
        <v>1446</v>
      </c>
      <c r="C12" s="16" t="s">
        <v>1447</v>
      </c>
      <c r="D12" s="16" t="s">
        <v>1448</v>
      </c>
      <c r="E12" s="16" t="s">
        <v>36</v>
      </c>
      <c r="F12" s="16" t="s">
        <v>1449</v>
      </c>
      <c r="G12" s="16" t="s">
        <v>40</v>
      </c>
    </row>
    <row r="13" customFormat="false" ht="39.75" hidden="false" customHeight="true" outlineLevel="0" collapsed="false">
      <c r="A13" s="15" t="s">
        <v>1450</v>
      </c>
      <c r="B13" s="16" t="s">
        <v>1446</v>
      </c>
      <c r="C13" s="16" t="s">
        <v>1451</v>
      </c>
      <c r="D13" s="16" t="s">
        <v>1452</v>
      </c>
      <c r="E13" s="16" t="s">
        <v>36</v>
      </c>
      <c r="F13" s="16" t="s">
        <v>1449</v>
      </c>
      <c r="G13" s="16" t="s">
        <v>40</v>
      </c>
    </row>
    <row r="14" customFormat="false" ht="39.75" hidden="false" customHeight="true" outlineLevel="0" collapsed="false">
      <c r="A14" s="19" t="s">
        <v>1453</v>
      </c>
      <c r="B14" s="20" t="s">
        <v>1446</v>
      </c>
      <c r="C14" s="20" t="s">
        <v>1454</v>
      </c>
      <c r="D14" s="20" t="s">
        <v>1455</v>
      </c>
      <c r="E14" s="20" t="s">
        <v>37</v>
      </c>
      <c r="F14" s="20" t="s">
        <v>1449</v>
      </c>
      <c r="G14" s="20" t="s">
        <v>40</v>
      </c>
    </row>
    <row r="15" customFormat="false" ht="39.75" hidden="false" customHeight="true" outlineLevel="0" collapsed="false">
      <c r="A15" s="15" t="s">
        <v>87</v>
      </c>
      <c r="B15" s="16" t="s">
        <v>1446</v>
      </c>
      <c r="C15" s="16" t="s">
        <v>64</v>
      </c>
      <c r="D15" s="16" t="s">
        <v>1456</v>
      </c>
      <c r="E15" s="16" t="s">
        <v>36</v>
      </c>
      <c r="F15" s="16" t="s">
        <v>1449</v>
      </c>
      <c r="G15" s="16" t="s">
        <v>40</v>
      </c>
    </row>
    <row r="16" customFormat="false" ht="39.75" hidden="false" customHeight="true" outlineLevel="0" collapsed="false">
      <c r="A16" s="15" t="s">
        <v>1457</v>
      </c>
      <c r="B16" s="16" t="s">
        <v>1458</v>
      </c>
      <c r="C16" s="16" t="s">
        <v>1459</v>
      </c>
      <c r="D16" s="16" t="s">
        <v>1460</v>
      </c>
      <c r="E16" s="16" t="s">
        <v>36</v>
      </c>
      <c r="F16" s="16" t="s">
        <v>1449</v>
      </c>
      <c r="G16" s="16" t="s">
        <v>40</v>
      </c>
    </row>
    <row r="17" customFormat="false" ht="39.75" hidden="false" customHeight="true" outlineLevel="0" collapsed="false">
      <c r="A17" s="15" t="s">
        <v>91</v>
      </c>
      <c r="B17" s="16" t="s">
        <v>1458</v>
      </c>
      <c r="C17" s="16" t="s">
        <v>92</v>
      </c>
      <c r="D17" s="16" t="s">
        <v>1461</v>
      </c>
      <c r="E17" s="16" t="s">
        <v>36</v>
      </c>
      <c r="F17" s="16" t="s">
        <v>1449</v>
      </c>
      <c r="G17" s="16" t="s">
        <v>40</v>
      </c>
    </row>
    <row r="18" customFormat="false" ht="39.75" hidden="false" customHeight="true" outlineLevel="0" collapsed="false">
      <c r="A18" s="15" t="s">
        <v>1462</v>
      </c>
      <c r="B18" s="16" t="s">
        <v>1458</v>
      </c>
      <c r="C18" s="16" t="s">
        <v>1463</v>
      </c>
      <c r="D18" s="16" t="s">
        <v>1464</v>
      </c>
      <c r="E18" s="16" t="s">
        <v>36</v>
      </c>
      <c r="F18" s="16" t="s">
        <v>1449</v>
      </c>
      <c r="G18" s="16" t="s">
        <v>40</v>
      </c>
    </row>
    <row r="19" customFormat="false" ht="39.75" hidden="false" customHeight="true" outlineLevel="0" collapsed="false">
      <c r="A19" s="19" t="s">
        <v>1465</v>
      </c>
      <c r="B19" s="20" t="s">
        <v>1458</v>
      </c>
      <c r="C19" s="20" t="s">
        <v>1466</v>
      </c>
      <c r="D19" s="20" t="s">
        <v>1467</v>
      </c>
      <c r="E19" s="20" t="s">
        <v>37</v>
      </c>
      <c r="F19" s="20" t="s">
        <v>1430</v>
      </c>
      <c r="G19" s="20" t="s">
        <v>40</v>
      </c>
    </row>
    <row r="20" customFormat="false" ht="39.75" hidden="false" customHeight="true" outlineLevel="0" collapsed="false">
      <c r="A20" s="19" t="s">
        <v>1468</v>
      </c>
      <c r="B20" s="20" t="s">
        <v>1458</v>
      </c>
      <c r="C20" s="20" t="s">
        <v>1469</v>
      </c>
      <c r="D20" s="20" t="s">
        <v>1470</v>
      </c>
      <c r="E20" s="20" t="s">
        <v>37</v>
      </c>
      <c r="F20" s="20" t="s">
        <v>1471</v>
      </c>
      <c r="G20" s="20" t="s">
        <v>40</v>
      </c>
    </row>
    <row r="21" customFormat="false" ht="39.75" hidden="false" customHeight="true" outlineLevel="0" collapsed="false">
      <c r="A21" s="15" t="s">
        <v>79</v>
      </c>
      <c r="B21" s="16" t="s">
        <v>1472</v>
      </c>
      <c r="C21" s="16" t="s">
        <v>80</v>
      </c>
      <c r="D21" s="16" t="s">
        <v>1473</v>
      </c>
      <c r="E21" s="16" t="s">
        <v>36</v>
      </c>
      <c r="F21" s="16" t="s">
        <v>1474</v>
      </c>
      <c r="G21" s="16" t="s">
        <v>40</v>
      </c>
    </row>
    <row r="22" customFormat="false" ht="39.75" hidden="false" customHeight="true" outlineLevel="0" collapsed="false">
      <c r="A22" s="15" t="s">
        <v>83</v>
      </c>
      <c r="B22" s="16" t="s">
        <v>1472</v>
      </c>
      <c r="C22" s="16" t="s">
        <v>84</v>
      </c>
      <c r="D22" s="16" t="s">
        <v>1475</v>
      </c>
      <c r="E22" s="16" t="s">
        <v>36</v>
      </c>
      <c r="F22" s="16" t="s">
        <v>1474</v>
      </c>
      <c r="G22" s="16" t="s">
        <v>40</v>
      </c>
    </row>
    <row r="23" customFormat="false" ht="39.75" hidden="false" customHeight="true" outlineLevel="0" collapsed="false">
      <c r="A23" s="19" t="s">
        <v>1476</v>
      </c>
      <c r="B23" s="20" t="s">
        <v>1472</v>
      </c>
      <c r="C23" s="20" t="s">
        <v>1477</v>
      </c>
      <c r="D23" s="20" t="s">
        <v>1478</v>
      </c>
      <c r="E23" s="20" t="s">
        <v>37</v>
      </c>
      <c r="F23" s="20" t="s">
        <v>1474</v>
      </c>
      <c r="G23" s="20" t="s">
        <v>40</v>
      </c>
    </row>
    <row r="24" customFormat="false" ht="39.75" hidden="false" customHeight="true" outlineLevel="0" collapsed="false">
      <c r="A24" s="19" t="s">
        <v>1479</v>
      </c>
      <c r="B24" s="20" t="s">
        <v>1472</v>
      </c>
      <c r="C24" s="20" t="s">
        <v>1480</v>
      </c>
      <c r="D24" s="20" t="s">
        <v>1481</v>
      </c>
      <c r="E24" s="20" t="s">
        <v>37</v>
      </c>
      <c r="F24" s="20" t="s">
        <v>1474</v>
      </c>
      <c r="G24" s="20" t="s">
        <v>40</v>
      </c>
    </row>
    <row r="25" customFormat="false" ht="39.75" hidden="false" customHeight="true" outlineLevel="0" collapsed="false">
      <c r="A25" s="19" t="s">
        <v>1482</v>
      </c>
      <c r="B25" s="20" t="s">
        <v>1483</v>
      </c>
      <c r="C25" s="20" t="s">
        <v>1484</v>
      </c>
      <c r="D25" s="20" t="s">
        <v>1485</v>
      </c>
      <c r="E25" s="20" t="s">
        <v>37</v>
      </c>
      <c r="F25" s="20" t="s">
        <v>1449</v>
      </c>
      <c r="G25" s="20" t="s">
        <v>40</v>
      </c>
    </row>
    <row r="26" customFormat="false" ht="39.75" hidden="false" customHeight="true" outlineLevel="0" collapsed="false">
      <c r="A26" s="19" t="s">
        <v>1486</v>
      </c>
      <c r="B26" s="20" t="s">
        <v>1487</v>
      </c>
      <c r="C26" s="20" t="s">
        <v>1488</v>
      </c>
      <c r="D26" s="20" t="s">
        <v>1489</v>
      </c>
      <c r="E26" s="20" t="s">
        <v>37</v>
      </c>
      <c r="F26" s="20" t="s">
        <v>1434</v>
      </c>
      <c r="G26" s="20" t="s">
        <v>40</v>
      </c>
    </row>
    <row r="27" customFormat="false" ht="39.75" hidden="false" customHeight="true" outlineLevel="0" collapsed="false">
      <c r="A27" s="19" t="s">
        <v>1490</v>
      </c>
      <c r="B27" s="20" t="s">
        <v>1487</v>
      </c>
      <c r="C27" s="20" t="s">
        <v>1491</v>
      </c>
      <c r="D27" s="20" t="s">
        <v>1492</v>
      </c>
      <c r="E27" s="20" t="s">
        <v>37</v>
      </c>
      <c r="F27" s="20" t="s">
        <v>1434</v>
      </c>
      <c r="G27" s="20" t="s">
        <v>40</v>
      </c>
    </row>
    <row r="28" customFormat="false" ht="39.75" hidden="false" customHeight="true" outlineLevel="0" collapsed="false">
      <c r="A28" s="19" t="s">
        <v>1493</v>
      </c>
      <c r="B28" s="20" t="s">
        <v>1487</v>
      </c>
      <c r="C28" s="20" t="s">
        <v>1494</v>
      </c>
      <c r="D28" s="20" t="s">
        <v>1495</v>
      </c>
      <c r="E28" s="20" t="s">
        <v>37</v>
      </c>
      <c r="F28" s="20" t="s">
        <v>1434</v>
      </c>
      <c r="G28" s="20" t="s">
        <v>40</v>
      </c>
    </row>
    <row r="29" customFormat="false" ht="39.75" hidden="false" customHeight="true" outlineLevel="0" collapsed="false">
      <c r="A29" s="19" t="s">
        <v>1496</v>
      </c>
      <c r="B29" s="20" t="s">
        <v>1497</v>
      </c>
      <c r="C29" s="20" t="s">
        <v>1498</v>
      </c>
      <c r="D29" s="20" t="s">
        <v>1499</v>
      </c>
      <c r="E29" s="20" t="s">
        <v>37</v>
      </c>
      <c r="F29" s="20" t="s">
        <v>1471</v>
      </c>
      <c r="G29" s="20" t="s">
        <v>40</v>
      </c>
    </row>
    <row r="30" customFormat="false" ht="39.75" hidden="false" customHeight="true" outlineLevel="0" collapsed="false">
      <c r="A30" s="19" t="s">
        <v>1500</v>
      </c>
      <c r="B30" s="20" t="s">
        <v>1497</v>
      </c>
      <c r="C30" s="20" t="s">
        <v>1501</v>
      </c>
      <c r="D30" s="20" t="s">
        <v>1502</v>
      </c>
      <c r="E30" s="20" t="s">
        <v>37</v>
      </c>
      <c r="F30" s="20" t="s">
        <v>1471</v>
      </c>
      <c r="G30" s="20" t="s">
        <v>40</v>
      </c>
    </row>
    <row r="31" customFormat="false" ht="39.75" hidden="false" customHeight="true" outlineLevel="0" collapsed="false">
      <c r="A31" s="15" t="s">
        <v>114</v>
      </c>
      <c r="B31" s="16" t="s">
        <v>434</v>
      </c>
      <c r="C31" s="16" t="s">
        <v>1503</v>
      </c>
      <c r="D31" s="16" t="s">
        <v>1504</v>
      </c>
      <c r="E31" s="16" t="s">
        <v>36</v>
      </c>
      <c r="F31" s="16" t="s">
        <v>1505</v>
      </c>
      <c r="G31" s="16" t="s">
        <v>40</v>
      </c>
    </row>
    <row r="32" customFormat="false" ht="39.75" hidden="false" customHeight="true" outlineLevel="0" collapsed="false">
      <c r="A32" s="15" t="s">
        <v>122</v>
      </c>
      <c r="B32" s="16" t="s">
        <v>434</v>
      </c>
      <c r="C32" s="16" t="s">
        <v>1506</v>
      </c>
      <c r="D32" s="16" t="s">
        <v>1507</v>
      </c>
      <c r="E32" s="16" t="s">
        <v>36</v>
      </c>
      <c r="F32" s="16" t="s">
        <v>1505</v>
      </c>
      <c r="G32" s="16" t="s">
        <v>40</v>
      </c>
    </row>
    <row r="33" customFormat="false" ht="39.75" hidden="false" customHeight="true" outlineLevel="0" collapsed="false">
      <c r="A33" s="15" t="s">
        <v>1508</v>
      </c>
      <c r="B33" s="16" t="s">
        <v>434</v>
      </c>
      <c r="C33" s="16" t="s">
        <v>1509</v>
      </c>
      <c r="D33" s="16" t="s">
        <v>1510</v>
      </c>
      <c r="E33" s="16" t="s">
        <v>36</v>
      </c>
      <c r="F33" s="16" t="s">
        <v>1505</v>
      </c>
      <c r="G33" s="16" t="s">
        <v>40</v>
      </c>
    </row>
    <row r="34" customFormat="false" ht="39.75" hidden="false" customHeight="true" outlineLevel="0" collapsed="false">
      <c r="A34" s="15" t="s">
        <v>1511</v>
      </c>
      <c r="B34" s="16" t="s">
        <v>1512</v>
      </c>
      <c r="C34" s="16" t="s">
        <v>1513</v>
      </c>
      <c r="D34" s="16" t="s">
        <v>1514</v>
      </c>
      <c r="E34" s="16" t="s">
        <v>36</v>
      </c>
      <c r="F34" s="16" t="s">
        <v>1449</v>
      </c>
      <c r="G34" s="16" t="s">
        <v>40</v>
      </c>
    </row>
    <row r="35" customFormat="false" ht="39.75" hidden="false" customHeight="true" outlineLevel="0" collapsed="false">
      <c r="A35" s="19" t="s">
        <v>1515</v>
      </c>
      <c r="B35" s="20" t="s">
        <v>1516</v>
      </c>
      <c r="C35" s="20" t="s">
        <v>1517</v>
      </c>
      <c r="D35" s="20" t="s">
        <v>1518</v>
      </c>
      <c r="E35" s="20" t="s">
        <v>37</v>
      </c>
      <c r="F35" s="20" t="s">
        <v>1471</v>
      </c>
      <c r="G35" s="20" t="s">
        <v>40</v>
      </c>
    </row>
    <row r="36" customFormat="false" ht="39.75" hidden="false" customHeight="true" outlineLevel="0" collapsed="false">
      <c r="A36" s="17" t="s">
        <v>1519</v>
      </c>
      <c r="B36" s="18" t="s">
        <v>1516</v>
      </c>
      <c r="C36" s="18" t="s">
        <v>1520</v>
      </c>
      <c r="D36" s="18" t="s">
        <v>1521</v>
      </c>
      <c r="E36" s="18" t="s">
        <v>38</v>
      </c>
      <c r="F36" s="18" t="s">
        <v>1471</v>
      </c>
      <c r="G36" s="18" t="s">
        <v>40</v>
      </c>
    </row>
    <row r="37" customFormat="false" ht="39.75" hidden="false" customHeight="true" outlineLevel="0" collapsed="false">
      <c r="A37" s="17" t="s">
        <v>1522</v>
      </c>
      <c r="B37" s="18" t="s">
        <v>1523</v>
      </c>
      <c r="C37" s="18" t="s">
        <v>1524</v>
      </c>
      <c r="D37" s="18" t="s">
        <v>1525</v>
      </c>
      <c r="E37" s="18" t="s">
        <v>38</v>
      </c>
      <c r="F37" s="18" t="s">
        <v>1415</v>
      </c>
      <c r="G37" s="18" t="s">
        <v>40</v>
      </c>
    </row>
  </sheetData>
  <autoFilter ref="A1:G37"/>
  <dataValidations count="1">
    <dataValidation allowBlank="false" errorStyle="stop" operator="between" showDropDown="false" showErrorMessage="false" showInputMessage="false" sqref="G2:G37" type="list">
      <formula1>"À faire,En cours,En revue,Fait,Bloqué"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31-Backlog-validation</oddHeader>
    <oddFooter>&amp;RPage &amp;P / &amp;N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2"/>
    <col collapsed="false" customWidth="true" hidden="false" outlineLevel="0" max="3" min="3" style="0" width="42"/>
  </cols>
  <sheetData>
    <row r="1" customFormat="false" ht="21.75" hidden="false" customHeight="true" outlineLevel="0" collapsed="false">
      <c r="A1" s="6" t="s">
        <v>1526</v>
      </c>
      <c r="B1" s="6" t="s">
        <v>1527</v>
      </c>
      <c r="C1" s="6" t="s">
        <v>1528</v>
      </c>
    </row>
    <row r="2" customFormat="false" ht="27.75" hidden="false" customHeight="true" outlineLevel="0" collapsed="false">
      <c r="A2" s="30" t="s">
        <v>1529</v>
      </c>
      <c r="B2" s="31" t="s">
        <v>1530</v>
      </c>
      <c r="C2" s="31" t="s">
        <v>1531</v>
      </c>
    </row>
    <row r="3" customFormat="false" ht="27.75" hidden="false" customHeight="true" outlineLevel="0" collapsed="false">
      <c r="A3" s="9" t="s">
        <v>1532</v>
      </c>
      <c r="B3" s="10" t="s">
        <v>1533</v>
      </c>
      <c r="C3" s="10" t="s">
        <v>1534</v>
      </c>
    </row>
    <row r="4" customFormat="false" ht="27.75" hidden="false" customHeight="true" outlineLevel="0" collapsed="false">
      <c r="A4" s="30" t="s">
        <v>1535</v>
      </c>
      <c r="B4" s="31" t="s">
        <v>1536</v>
      </c>
      <c r="C4" s="31" t="s">
        <v>1537</v>
      </c>
    </row>
    <row r="5" customFormat="false" ht="27.75" hidden="false" customHeight="true" outlineLevel="0" collapsed="false">
      <c r="A5" s="9" t="s">
        <v>1538</v>
      </c>
      <c r="B5" s="10" t="s">
        <v>1539</v>
      </c>
      <c r="C5" s="10" t="s">
        <v>1540</v>
      </c>
    </row>
    <row r="6" customFormat="false" ht="27.75" hidden="false" customHeight="true" outlineLevel="0" collapsed="false">
      <c r="A6" s="30" t="s">
        <v>1541</v>
      </c>
      <c r="B6" s="31" t="s">
        <v>1542</v>
      </c>
      <c r="C6" s="31" t="s">
        <v>1543</v>
      </c>
    </row>
    <row r="7" customFormat="false" ht="27.75" hidden="false" customHeight="true" outlineLevel="0" collapsed="false">
      <c r="A7" s="9" t="s">
        <v>1544</v>
      </c>
      <c r="B7" s="10" t="s">
        <v>1545</v>
      </c>
      <c r="C7" s="10" t="s">
        <v>1546</v>
      </c>
    </row>
    <row r="8" customFormat="false" ht="27.75" hidden="false" customHeight="true" outlineLevel="0" collapsed="false">
      <c r="A8" s="30" t="s">
        <v>1547</v>
      </c>
      <c r="B8" s="31" t="s">
        <v>1548</v>
      </c>
      <c r="C8" s="31" t="s">
        <v>1549</v>
      </c>
    </row>
    <row r="9" customFormat="false" ht="27.75" hidden="false" customHeight="true" outlineLevel="0" collapsed="false">
      <c r="A9" s="9" t="s">
        <v>1550</v>
      </c>
      <c r="B9" s="10" t="s">
        <v>1551</v>
      </c>
      <c r="C9" s="10" t="s">
        <v>102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&amp;LSentier — 32-Revue-humaine</oddHeader>
    <oddFooter>&amp;RPage &amp;P /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8"/>
    <col collapsed="false" customWidth="true" hidden="false" outlineLevel="0" max="3" min="3" style="0" width="36"/>
  </cols>
  <sheetData>
    <row r="2" customFormat="false" ht="22.05" hidden="false" customHeight="false" outlineLevel="0" collapsed="false">
      <c r="B2" s="5" t="s">
        <v>1552</v>
      </c>
    </row>
    <row r="4" customFormat="false" ht="21.75" hidden="false" customHeight="true" outlineLevel="0" collapsed="false">
      <c r="A4" s="6" t="s">
        <v>1553</v>
      </c>
      <c r="B4" s="6" t="s">
        <v>1554</v>
      </c>
      <c r="C4" s="6" t="s">
        <v>1555</v>
      </c>
    </row>
    <row r="5" customFormat="false" ht="48" hidden="false" customHeight="true" outlineLevel="0" collapsed="false">
      <c r="A5" s="7" t="s">
        <v>1256</v>
      </c>
      <c r="B5" s="8" t="s">
        <v>1556</v>
      </c>
      <c r="C5" s="8" t="s">
        <v>1557</v>
      </c>
    </row>
    <row r="6" customFormat="false" ht="48" hidden="false" customHeight="true" outlineLevel="0" collapsed="false">
      <c r="A6" s="9" t="s">
        <v>1558</v>
      </c>
      <c r="B6" s="10" t="s">
        <v>1559</v>
      </c>
      <c r="C6" s="10" t="s">
        <v>1560</v>
      </c>
    </row>
    <row r="7" customFormat="false" ht="48" hidden="false" customHeight="true" outlineLevel="0" collapsed="false">
      <c r="A7" s="7" t="s">
        <v>1561</v>
      </c>
      <c r="B7" s="8" t="s">
        <v>1562</v>
      </c>
      <c r="C7" s="8" t="s">
        <v>1563</v>
      </c>
    </row>
    <row r="8" customFormat="false" ht="48" hidden="false" customHeight="true" outlineLevel="0" collapsed="false">
      <c r="A8" s="9" t="s">
        <v>1564</v>
      </c>
      <c r="B8" s="10" t="s">
        <v>1565</v>
      </c>
      <c r="C8" s="10" t="s">
        <v>1566</v>
      </c>
    </row>
    <row r="9" customFormat="false" ht="48" hidden="false" customHeight="true" outlineLevel="0" collapsed="false">
      <c r="A9" s="7" t="s">
        <v>1567</v>
      </c>
      <c r="B9" s="8" t="s">
        <v>1568</v>
      </c>
      <c r="C9" s="8" t="s">
        <v>1569</v>
      </c>
    </row>
    <row r="10" customFormat="false" ht="48" hidden="false" customHeight="true" outlineLevel="0" collapsed="false">
      <c r="A10" s="9" t="s">
        <v>1570</v>
      </c>
      <c r="B10" s="10" t="s">
        <v>1571</v>
      </c>
      <c r="C10" s="10" t="s">
        <v>1572</v>
      </c>
    </row>
    <row r="11" customFormat="false" ht="48" hidden="false" customHeight="true" outlineLevel="0" collapsed="false">
      <c r="A11" s="7" t="s">
        <v>1573</v>
      </c>
      <c r="B11" s="8" t="s">
        <v>1574</v>
      </c>
      <c r="C11" s="8"/>
    </row>
    <row r="12" customFormat="false" ht="48" hidden="false" customHeight="true" outlineLevel="0" collapsed="false">
      <c r="A12" s="9" t="s">
        <v>1575</v>
      </c>
      <c r="B12" s="10" t="s">
        <v>1576</v>
      </c>
      <c r="C12" s="10"/>
    </row>
    <row r="13" customFormat="false" ht="48" hidden="false" customHeight="true" outlineLevel="0" collapsed="false">
      <c r="A13" s="7" t="s">
        <v>1577</v>
      </c>
      <c r="B13" s="8" t="s">
        <v>1578</v>
      </c>
      <c r="C13" s="8"/>
    </row>
    <row r="14" customFormat="false" ht="48" hidden="false" customHeight="true" outlineLevel="0" collapsed="false">
      <c r="A14" s="9" t="s">
        <v>1579</v>
      </c>
      <c r="B14" s="10" t="s">
        <v>1580</v>
      </c>
      <c r="C14" s="10"/>
    </row>
    <row r="15" customFormat="false" ht="48" hidden="false" customHeight="true" outlineLevel="0" collapsed="false">
      <c r="A15" s="7" t="s">
        <v>1581</v>
      </c>
      <c r="B15" s="8" t="s">
        <v>1582</v>
      </c>
      <c r="C15" s="8"/>
    </row>
    <row r="16" customFormat="false" ht="48" hidden="false" customHeight="true" outlineLevel="0" collapsed="false">
      <c r="A16" s="9" t="s">
        <v>1583</v>
      </c>
      <c r="B16" s="10" t="s">
        <v>1584</v>
      </c>
      <c r="C16" s="10"/>
    </row>
    <row r="17" customFormat="false" ht="48" hidden="false" customHeight="true" outlineLevel="0" collapsed="false">
      <c r="A17" s="7" t="s">
        <v>1585</v>
      </c>
      <c r="B17" s="8" t="s">
        <v>1586</v>
      </c>
      <c r="C17" s="8"/>
    </row>
  </sheetData>
  <autoFilter ref="A1:C17"/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&amp;LSentier — 40-Contrats</oddHeader>
    <oddFooter>&amp;RPage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2026-09-03T00:54:32Z</dcterms:created>
  <dc:creator>openpyxl</dc:creator>
  <dc:description/>
  <dc:language>en-US</dc:language>
  <cp:lastModifiedBy/>
  <dcterms:modified xsi:type="dcterms:W3CDTF">2026-09-03T00:54:32Z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