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bleau de bord" sheetId="1" state="visible" r:id="rId3"/>
    <sheet name="Lisez-moi" sheetId="2" state="visible" r:id="rId4"/>
    <sheet name="Backlog" sheetId="3" state="visible" r:id="rId5"/>
    <sheet name="Sprint 0 — P0" sheetId="4" state="visible" r:id="rId6"/>
  </sheets>
  <definedNames>
    <definedName function="false" hidden="false" localSheetId="2" name="_xlnm.Print_Titles" vbProcedure="false">Backlog!$1:$1</definedName>
    <definedName function="false" hidden="true" localSheetId="2" name="_xlnm._FilterDatabase" vbProcedure="false">Backlog!$A$1:$K$63</definedName>
    <definedName function="false" hidden="false" localSheetId="1" name="_xlnm.Print_Titles" vbProcedure="false">'Lisez-moi'!$1:$1</definedName>
    <definedName function="false" hidden="false" localSheetId="3" name="_xlnm.Print_Titles" vbProcedure="false">'Sprint 0 — P0'!$1:$5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<sst xmlns="http://schemas.openxmlformats.org/spreadsheetml/2006/main" count="761" uniqueCount="435">
  <si>
    <t xml:space="preserve">Suivi d'avancement — formules dynamiques</t>
  </si>
  <si>
    <t xml:space="preserve">Ne pas saisir ici. Modifier le Statut et la Priorité dans l'onglet Backlog.</t>
  </si>
  <si>
    <t xml:space="preserve">Total features</t>
  </si>
  <si>
    <t xml:space="preserve">P0</t>
  </si>
  <si>
    <t xml:space="preserve">À faire</t>
  </si>
  <si>
    <t xml:space="preserve">P1</t>
  </si>
  <si>
    <t xml:space="preserve">En cours</t>
  </si>
  <si>
    <t xml:space="preserve">P2</t>
  </si>
  <si>
    <t xml:space="preserve">En revue</t>
  </si>
  <si>
    <t xml:space="preserve">P3</t>
  </si>
  <si>
    <t xml:space="preserve">Fait</t>
  </si>
  <si>
    <t xml:space="preserve">Bloqué</t>
  </si>
  <si>
    <t xml:space="preserve">P0 encore ouverts</t>
  </si>
  <si>
    <t xml:space="preserve">Plus tard</t>
  </si>
  <si>
    <t xml:space="preserve">P1 encore ouverts</t>
  </si>
  <si>
    <t xml:space="preserve">% fait</t>
  </si>
  <si>
    <t xml:space="preserve">Par epic</t>
  </si>
  <si>
    <t xml:space="preserve">Epic</t>
  </si>
  <si>
    <t xml:space="preserve">Nb</t>
  </si>
  <si>
    <t xml:space="preserve">Reste</t>
  </si>
  <si>
    <t xml:space="preserve">Admin</t>
  </si>
  <si>
    <t xml:space="preserve">Audio</t>
  </si>
  <si>
    <t xml:space="preserve">Compte</t>
  </si>
  <si>
    <t xml:space="preserve">Confidentialité</t>
  </si>
  <si>
    <t xml:space="preserve">Espace parent</t>
  </si>
  <si>
    <t xml:space="preserve">Forêts</t>
  </si>
  <si>
    <t xml:space="preserve">Interactions</t>
  </si>
  <si>
    <t xml:space="preserve">Lecture enfant</t>
  </si>
  <si>
    <t xml:space="preserve">Leçons parentales</t>
  </si>
  <si>
    <t xml:space="preserve">Moteur narratif</t>
  </si>
  <si>
    <t xml:space="preserve">Production</t>
  </si>
  <si>
    <t xml:space="preserve">Profils</t>
  </si>
  <si>
    <t xml:space="preserve">Renouvellement</t>
  </si>
  <si>
    <t xml:space="preserve">Référentiel</t>
  </si>
  <si>
    <t xml:space="preserve">Stock local</t>
  </si>
  <si>
    <t xml:space="preserve">Suivi</t>
  </si>
  <si>
    <t xml:space="preserve">Sécurité app</t>
  </si>
  <si>
    <t xml:space="preserve">Version 2</t>
  </si>
  <si>
    <t xml:space="preserve">Éditorial</t>
  </si>
  <si>
    <t xml:space="preserve">Par phase</t>
  </si>
  <si>
    <t xml:space="preserve">Phase</t>
  </si>
  <si>
    <t xml:space="preserve">Phase 2</t>
  </si>
  <si>
    <t xml:space="preserve">Phase 1</t>
  </si>
  <si>
    <t xml:space="preserve">Phase 0</t>
  </si>
  <si>
    <t xml:space="preserve">Phase 4</t>
  </si>
  <si>
    <t xml:space="preserve">Phase 3</t>
  </si>
  <si>
    <t xml:space="preserve">Phase 5</t>
  </si>
  <si>
    <t xml:space="preserve">Phase 6</t>
  </si>
  <si>
    <t xml:space="preserve">Phase 7</t>
  </si>
  <si>
    <t xml:space="preserve">Sentier — Backlog fonctionnel v2.0</t>
  </si>
  <si>
    <t xml:space="preserve">Identifiants stables pour branches Git, tickets et suivi d'avancement. Source : spécification fonctionnelle finale v2.0 (3 septembre 2026).</t>
  </si>
  <si>
    <t xml:space="preserve">Comment s'en servir</t>
  </si>
  <si>
    <t xml:space="preserve">1. Une ligne = une feature développable, une branche Git suggérée.</t>
  </si>
  <si>
    <t xml:space="preserve">2. L'ID ne change plus. On peut renommer le titre, pas l'identifiant.</t>
  </si>
  <si>
    <t xml:space="preserve">3. Dans le dépôt : git checkout -b feat/F-ACC-001-compte-parent</t>
  </si>
  <si>
    <t xml:space="preserve">4. Quand c'est commencé, passer Statut à « En cours » ; à « Fait » à la merge.</t>
  </si>
  <si>
    <t xml:space="preserve">5. Le tableau de bord se met à jour tout seul (formules).</t>
  </si>
  <si>
    <t xml:space="preserve">Priorités</t>
  </si>
  <si>
    <t xml:space="preserve">P0 — Bloquant pour la première écoute réelle (profil + 1 arbre hors ligne).</t>
  </si>
  <si>
    <t xml:space="preserve">P1 — Dans le MVP livré aux premières familles.</t>
  </si>
  <si>
    <t xml:space="preserve">P2 — Juste après le MVP, pas dans la première découpe.</t>
  </si>
  <si>
    <t xml:space="preserve">P3 — Version 2 (mini-LLM, voice-to-voice). Ne pas démarrer maintenant.</t>
  </si>
  <si>
    <t xml:space="preserve">Phases</t>
  </si>
  <si>
    <t xml:space="preserve">Phase 0 Cadrage  ·  Phase 1 Prototype contenu  ·  Phase 2 MVP mobile</t>
  </si>
  <si>
    <t xml:space="preserve">Phase 3 Interaction fermée  ·  Phase 4 Renouvellement  ·  Phase 5 Leçons parentales</t>
  </si>
  <si>
    <t xml:space="preserve">Phase 6 Mini-LLM  ·  Phase 7 Voice-to-voice</t>
  </si>
  <si>
    <t xml:space="preserve">Convention de branche</t>
  </si>
  <si>
    <t xml:space="preserve">feat/&lt;ID&gt;-&lt;slug-court&gt;     exemple : feat/F-NAR-002-moteur-local</t>
  </si>
  <si>
    <t xml:space="preserve">fix/&lt;ID&gt;-&lt;slug&gt;            si correctif sur une feature déjà mergée</t>
  </si>
  <si>
    <t xml:space="preserve">ID</t>
  </si>
  <si>
    <t xml:space="preserve">Titre</t>
  </si>
  <si>
    <t xml:space="preserve">Description détaillée</t>
  </si>
  <si>
    <t xml:space="preserve">Priorité</t>
  </si>
  <si>
    <t xml:space="preserve">Statut</t>
  </si>
  <si>
    <t xml:space="preserve">Dépendances</t>
  </si>
  <si>
    <t xml:space="preserve">Branche Git</t>
  </si>
  <si>
    <t xml:space="preserve">Assigné</t>
  </si>
  <si>
    <t xml:space="preserve">Notes</t>
  </si>
  <si>
    <t xml:space="preserve">F-ACC-001</t>
  </si>
  <si>
    <t xml:space="preserve">Création de compte parent</t>
  </si>
  <si>
    <t xml:space="preserve">Un adulte crée un compte (e-mail ou identité tierce). Confirmation qu'il a 18 ans et qu'il est responsable de l'enfant. CGU, confidentialité et consentement mineur présentés sans case précochée. E-mail vérifié avant génération ou téléchargement massif. Mot de passe robuste. 2FA recommandée, obligatoire plus tard sur les comptes payants.</t>
  </si>
  <si>
    <t xml:space="preserve">—</t>
  </si>
  <si>
    <t xml:space="preserve">feat/F-ACC-001-compte-parent</t>
  </si>
  <si>
    <t xml:space="preserve">F-ACC-002</t>
  </si>
  <si>
    <t xml:space="preserve">Connexion multi-appareils</t>
  </si>
  <si>
    <t xml:space="preserve">Le compte parent se synchronise entre appareils. La forêt locale reste propre à chaque appareil. L'historique léger est synchronisé pour éviter de rejouer immédiatement la même branche ailleurs, sauf réglage contraire.</t>
  </si>
  <si>
    <t xml:space="preserve">feat/F-ACC-002-multi-appareils</t>
  </si>
  <si>
    <t xml:space="preserve">F-ACC-003</t>
  </si>
  <si>
    <t xml:space="preserve">Consentements et portabilité</t>
  </si>
  <si>
    <t xml:space="preserve">Le parent consulte et retire : traitement du profil enfant, historique d'écoute, reconnaissance vocale future, journaux techniques, communications. Export lisible (leçons, validations, historique agrégé). Suppression de profil ou de compte avec effacement des audios locaux et des données perso côté serveur dans les délais légaux.</t>
  </si>
  <si>
    <t xml:space="preserve">feat/F-ACC-003-consentements</t>
  </si>
  <si>
    <t xml:space="preserve">F-SEC-001</t>
  </si>
  <si>
    <t xml:space="preserve">Code parental</t>
  </si>
  <si>
    <t xml:space="preserve">Toutes les actions de configuration sont derrière un code 4 ou 6 chiffres distinct du mot de passe. Demandé : entrée espace parent depuis le mode enfant, validation/invalidation, modification des leçons/durée/stock, suppression de profil, export. Après 5 erreurs, délai croissant. Réinit via le compte authentifié, jamais depuis le mode enfant. Alternative biométrie ou geste complexe (SEC-001).</t>
  </si>
  <si>
    <t xml:space="preserve">feat/F-SEC-001-code-parental</t>
  </si>
  <si>
    <t xml:space="preserve">F-SEC-002</t>
  </si>
  <si>
    <t xml:space="preserve">Cloisonnement mode enfant</t>
  </si>
  <si>
    <t xml:space="preserve">Le mode enfant n'expose ni achats, ni réglages, ni liens externes, ni données personnelles (SEC-002). Sortie uniquement par code parental. Pas de notifications commerciales pendant la session.</t>
  </si>
  <si>
    <t xml:space="preserve">feat/F-SEC-002-mode-enfant-clos</t>
  </si>
  <si>
    <t xml:space="preserve">F-PRF-001</t>
  </si>
  <si>
    <t xml:space="preserve">Profils enfants isolés</t>
  </si>
  <si>
    <t xml:space="preserve">Un compte peut avoir plusieurs profils. Chaque profil isole : leçons, forêt locale, historique, voix, niveau d'âge N1/N2/N3. Champs : prénom ou surnom, date de naissance ou tranche, pronom optionnel pour les accords, voix, mode jour/nuit par défaut, notes parentales jamais lues à l'enfant.</t>
  </si>
  <si>
    <t xml:space="preserve">feat/F-PRF-001-profils-enfants</t>
  </si>
  <si>
    <t xml:space="preserve">F-PRF-002</t>
  </si>
  <si>
    <t xml:space="preserve">Niveaux d'âge N1 N2 N3</t>
  </si>
  <si>
    <t xml:space="preserve">Filtrage des arbres selon 3-4 / 4-5 / 5-6 ans. Si l'âge change, bascule après confirmation parentale. Les arbres trop simples ou trop complexes sont exclus. N1 : 2 choix, phrases courtes. N2 : cause-conséquence. N3 : jusqu'à 3 choix, transfert de leçon.</t>
  </si>
  <si>
    <t xml:space="preserve">feat/F-PRF-002-niveaux-age</t>
  </si>
  <si>
    <t xml:space="preserve">F-TAX-001</t>
  </si>
  <si>
    <t xml:space="preserve">Taxonomie domaine / sous-domaine / leçon</t>
  </si>
  <si>
    <t xml:space="preserve">Catalogue extensible à 3 niveaux. Une leçon peut apparaître dans plusieurs branches. Une branche a une leçon principale et des secondaires. Domaines V1 : santé, sécurité, émotions, différences quotidiennes, autonomie, famille, vie collective, monde vivant, temps, monde concret, sports, langage.</t>
  </si>
  <si>
    <t xml:space="preserve">feat/F-TAX-001-taxonomie</t>
  </si>
  <si>
    <t xml:space="preserve">F-TAX-002</t>
  </si>
  <si>
    <t xml:space="preserve">Fiche leçon versionnée</t>
  </si>
  <si>
    <t xml:space="preserve">Chaque leçon : lesson_id, titre, âge, objectif observable, required_messages, forbidden_messages, misconceptions, success_behaviours, questions, sensibilité, version. Champs génération : framing, named_dangerous_actions, positive_scripts, banned_topics, family_model, emotion_lexicon, do_not_diagnose, compatible/incompatible lessons.</t>
  </si>
  <si>
    <t xml:space="preserve">feat/F-TAX-002-fiche-lecon</t>
  </si>
  <si>
    <t xml:space="preserve">F-TAX-003</t>
  </si>
  <si>
    <t xml:space="preserve">Sélection priorités exclusions parentales</t>
  </si>
  <si>
    <t xml:space="preserve">Le parent active un domaine, coche des leçons, ordonne un top de priorités, met « plus tard », exclut un thème. Score d'ordonnance : priorité + compatibilité + révision + intérêt − répétition − coût de transition − dépassement de durée. La priorité domine sans transition absurde.</t>
  </si>
  <si>
    <t xml:space="preserve">F-TAX-001;F-PRF-001</t>
  </si>
  <si>
    <t xml:space="preserve">feat/F-TAX-003-priorites-parent</t>
  </si>
  <si>
    <t xml:space="preserve">F-TAX-004</t>
  </si>
  <si>
    <t xml:space="preserve">Versionnement et couverture</t>
  </si>
  <si>
    <t xml:space="preserve">Une modification des messages obligatoires/interdits crée une nouvelle version. Anciens arbres encore valides restent jouables mais ne sont plus renouvelés. Vue de couverture : leçons actives par domaine, jamais rencontrées, trop répétées.</t>
  </si>
  <si>
    <t xml:space="preserve">feat/F-TAX-004-versions-couverture</t>
  </si>
  <si>
    <t xml:space="preserve">F-NEU-001</t>
  </si>
  <si>
    <t xml:space="preserve">Vocabulaire neutre audio enfant</t>
  </si>
  <si>
    <t xml:space="preserve">L'audio enfant reste dans un français quotidien : maison, école, parc, papa, maman, frère, sœur, repas, animaux, règles simples. Interdit dans l'audio : religion, politique, guerre, crime, tuerie, discours de genre, deux papas / deux mamans. On n'explique pas ces sujets pour les rejeter : ils sont absents. Les listes d'exclusion restent en métadonnées (NEUT-001 à NEUT-005, RM-16, RM-17).</t>
  </si>
  <si>
    <t xml:space="preserve">feat/F-NEU-001-vocabulaire-neutre</t>
  </si>
  <si>
    <t xml:space="preserve">F-NEU-002</t>
  </si>
  <si>
    <t xml:space="preserve">Formulation positive des dangers</t>
  </si>
  <si>
    <t xml:space="preserve">Sur un sujet dangereux, l'histoire dit quoi faire. Elle ne nomme pas le geste dangereux, même pour l'interdire. Pas d'option de choix qui décrit un geste imitable. Le retour d'erreur répète seulement la conduite sûre. Exemples dangereux uniquement en métadonnées (POS-001 à POS-006, RM-15).</t>
  </si>
  <si>
    <t xml:space="preserve">feat/F-NEU-002-formulation-positive</t>
  </si>
  <si>
    <t xml:space="preserve">F-NEU-003</t>
  </si>
  <si>
    <t xml:space="preserve">Émotions nommées</t>
  </si>
  <si>
    <t xml:space="preserve">Une histoire d'émotion montre le nom, une cause, un indice du corps et un geste sûr (EMO-001 à 003). Joie, tristesse, déception, surprise, colère, peur, nervosité, gêne, jalousie, fierté. L'émotion n'est pas une faute ; seuls certains gestes sont encadrés (mains qui ne frappent pas).</t>
  </si>
  <si>
    <t xml:space="preserve">feat/F-NEU-003-lexique-emotions</t>
  </si>
  <si>
    <t xml:space="preserve">F-NEU-004</t>
  </si>
  <si>
    <t xml:space="preserve">Différences quotidiennes et moqueries</t>
  </si>
  <si>
    <t xml:space="preserve">Ne pas se moquer d'un camarade plus petit, plus grand, plus rond, timide, très actif, ou qui a besoin de plus de temps. Pas de diagnostic-étiquette. Inviter ≠ insister. On peut communiquer par geste, objet, regard. Ne pas finir les phrases de l'autre. Photo non consentie interdite. Trois rôles : visé, témoin, auteur de la moquerie (INC/COM).</t>
  </si>
  <si>
    <t xml:space="preserve">feat/F-NEU-004-differences-moqueries</t>
  </si>
  <si>
    <t xml:space="preserve">F-NEU-005</t>
  </si>
  <si>
    <t xml:space="preserve">Validateur de neutralité et d'idées dangereuses</t>
  </si>
  <si>
    <t xml:space="preserve">Contrôle bloquant : listes noires thématiques, structures « ne … pas + verbe dangereux », choix qui nomme un geste interdit, scène où le héros exécute le danger « pour apprendre », scripts positifs manquants, rupture famille papa-maman-enfants. Un hit refuse l'arbre (VAL-001).</t>
  </si>
  <si>
    <t xml:space="preserve">F-NEU-001;F-NEU-002;F-VAL-001</t>
  </si>
  <si>
    <t xml:space="preserve">feat/F-NEU-005-validateur-editorial</t>
  </si>
  <si>
    <t xml:space="preserve">F-NAR-001</t>
  </si>
  <si>
    <t xml:space="preserve">Modèle de données arbre / nœud / branche</t>
  </si>
  <si>
    <t xml:space="preserve">Schéma versionné : arbre (racine, fins, leçons, durées min/moy/max), nœuds typés (audio, question_comprehension, question_lesson, choice_story, feedback, transition, silence_check, ending), intentions, chemins par défaut, personnages, lieu, objets. Tous les chemins aboutissent. Pas de boucle. Fins indépendantes (NAR-001 à 003).</t>
  </si>
  <si>
    <t xml:space="preserve">feat/F-NAR-001-modele-arbre</t>
  </si>
  <si>
    <t xml:space="preserve">F-NAR-002</t>
  </si>
  <si>
    <t xml:space="preserve">Moteur d'exécution locale</t>
  </si>
  <si>
    <t xml:space="preserve">Le téléphone exécute un graphe déjà validé. Il joue l'audio du nœud, attend une intention ou un défaut, suit la branche, journalise. Aucun LLM pendant la session (RM-05, GEN-001). Transitions locales immédiates (NFR-001).</t>
  </si>
  <si>
    <t xml:space="preserve">F-NAR-001;F-AUD-001</t>
  </si>
  <si>
    <t xml:space="preserve">feat/F-NAR-002-moteur-local</t>
  </si>
  <si>
    <t xml:space="preserve">F-NAR-003</t>
  </si>
  <si>
    <t xml:space="preserve">Ordonnanceur d'arbres</t>
  </si>
  <si>
    <t xml:space="preserve">Les parents fixent la forêt. Le système choisit l'arbre. L'enfant choisit les branches. Sans ordre : tirage aléatoire sans remise. Ordre strict ou groupes de priorité. Un arbre est consommé à la première feuille valide (ORD-001 à 005). On ne force jamais une branche inconnue à la place de l'enfant (CYC-003).</t>
  </si>
  <si>
    <t xml:space="preserve">F-NAR-002;F-TAX-003</t>
  </si>
  <si>
    <t xml:space="preserve">feat/F-NAR-003-ordonnanceur</t>
  </si>
  <si>
    <t xml:space="preserve">F-NAR-004</t>
  </si>
  <si>
    <t xml:space="preserve">Sessions et durées réelles</t>
  </si>
  <si>
    <t xml:space="preserve">Durées cibles 5 / 10 / 15 / 30 / 60 min. Chaque arbre déclare min/moy/max mesurés sur l'audio, pas sur les mots. On ne démarre pas un arbre trop long pour le temps restant. On ne coupe pas une histoire commencée. Sinon clôture audio courte (SES-001 à 005).</t>
  </si>
  <si>
    <t xml:space="preserve">F-NAR-003;F-AUD-002</t>
  </si>
  <si>
    <t xml:space="preserve">feat/F-NAR-004-durees-session</t>
  </si>
  <si>
    <t xml:space="preserve">F-NAR-005</t>
  </si>
  <si>
    <t xml:space="preserve">Reprise après interruption</t>
  </si>
  <si>
    <t xml:space="preserve">On conserve arbre, nœud, position audio, choix, réponses. Statut IN_PROGRESS jusqu'à une feuille ou un abandon parental. Reprise avec courte remise en contexte, pas au milieu d'une phrase. Arbre en cours protégé contre l'éviction (RES-001 à 003).</t>
  </si>
  <si>
    <t xml:space="preserve">feat/F-NAR-005-reprise</t>
  </si>
  <si>
    <t xml:space="preserve">F-NAR-006</t>
  </si>
  <si>
    <t xml:space="preserve">Liberté décroissante et chemin par défaut</t>
  </si>
  <si>
    <t xml:space="preserve">Début : lieu, compagnon. Milieu : leçons compatibles. Fin : convergence vers la leçon prioritaire. Chaque nœud de choix déclare un défaut sûr, pas « le plus drôle ». Mode jour : défaut après silence. Mode nuit : fin progressive possible.</t>
  </si>
  <si>
    <t xml:space="preserve">F-NAR-002;F-INT-001</t>
  </si>
  <si>
    <t xml:space="preserve">feat/F-NAR-006-defaut-convergence</t>
  </si>
  <si>
    <t xml:space="preserve">F-INT-001</t>
  </si>
  <si>
    <t xml:space="preserve">Questions fermées et contrat d'intention</t>
  </si>
  <si>
    <t xml:space="preserve">Réponse 1 à 3 mots. Chaque question déclare intentions, exemples acceptés, expressions interdites, délai, relances, défaut. Fréquence 2 à 4 minutes. Trois familles : compréhension, leçon, choix narratif. Silence ou ambiguïté ne bloquent jamais (INT-001 à 004).</t>
  </si>
  <si>
    <t xml:space="preserve">feat/F-INT-001-questions-fermees</t>
  </si>
  <si>
    <t xml:space="preserve">F-INT-002</t>
  </si>
  <si>
    <t xml:space="preserve">Reconnaissance vocale fermée</t>
  </si>
  <si>
    <t xml:space="preserve">Composant local ou service autorisé. Pas de LLM de compréhension libre. Négation traitée avant similarité (« traverser » ≠ « ne pas traverser »). Sur la sécurité, préférer deux actions positives. États : MATCH, WRONG_EDUCATIONAL, AMBIGUOUS, NO_ANSWER, TECHNICAL_ERROR (VOC-001 à 005).</t>
  </si>
  <si>
    <t xml:space="preserve">feat/F-INT-002-reco-vocale</t>
  </si>
  <si>
    <t xml:space="preserve">F-INT-003</t>
  </si>
  <si>
    <t xml:space="preserve">Correction pédagogique positive</t>
  </si>
  <si>
    <t xml:space="preserve">WRONG_EDUCATIONAL : énoncer uniquement la conduite sûre, sans développer le geste dangereux, sans humiliation, puis suivre la branche pédagogique prévue (POS-005, RM-12).</t>
  </si>
  <si>
    <t xml:space="preserve">F-INT-001;F-NEU-002</t>
  </si>
  <si>
    <t xml:space="preserve">feat/F-INT-003-correction-positive</t>
  </si>
  <si>
    <t xml:space="preserve">F-INT-004</t>
  </si>
  <si>
    <t xml:space="preserve">Repli tactile anonyme</t>
  </si>
  <si>
    <t xml:space="preserve">Deux zones tactiles non illustratives reprennent les options déjà dites. L'écran ne raconte pas l'histoire (ACC-004). Utile si l'enfant ne veut ou ne peut pas parler.</t>
  </si>
  <si>
    <t xml:space="preserve">feat/F-INT-004-repli-tactile</t>
  </si>
  <si>
    <t xml:space="preserve">F-PLY-001</t>
  </si>
  <si>
    <t xml:space="preserve">Lecteur audio écran pauvre</t>
  </si>
  <si>
    <t xml:space="preserve">Plein écran calme, rien à regarder pour comprendre. Lecture continue si l'écran s'éteint. Commandes : pause, répéter la dernière phrase ou le dernier choix. Pas d'avance de 15 s (évite de sauter la leçon). Pas de catalogue à zapper pendant la session. UX-001.</t>
  </si>
  <si>
    <t xml:space="preserve">F-NAR-002;F-SEC-002</t>
  </si>
  <si>
    <t xml:space="preserve">feat/F-PLY-001-lecteur-audio</t>
  </si>
  <si>
    <t xml:space="preserve">F-PLY-002</t>
  </si>
  <si>
    <t xml:space="preserve">Mode jour</t>
  </si>
  <si>
    <t xml:space="preserve">Interactions régulières. Silence → une relance → chemin par défaut. Enchaînement d'arbres jusqu'à la durée. Commandes parentales protégées.</t>
  </si>
  <si>
    <t xml:space="preserve">feat/F-PLY-002-mode-jour</t>
  </si>
  <si>
    <t xml:space="preserve">F-PLY-003</t>
  </si>
  <si>
    <t xml:space="preserve">Mode nuit</t>
  </si>
  <si>
    <t xml:space="preserve">Voix plus basse, rythme plus lent, pas de son brusque. Interactions rares et non stimulantes. Silence → fin progressive paramétrable. Le système n'affirme pas que l'enfant dort (NIGHT-001, NIGHT-002). Pas de relance d'un nouvel arbre.</t>
  </si>
  <si>
    <t xml:space="preserve">feat/F-PLY-003-mode-nuit</t>
  </si>
  <si>
    <t xml:space="preserve">F-PLY-004</t>
  </si>
  <si>
    <t xml:space="preserve">Exécution hors connexion</t>
  </si>
  <si>
    <t xml:space="preserve">Une forêt locale complète s'exécute sans réseau (OFF-001 à 003). Le paquet contient graphe, audios, intentions, transitions, métadonnées. Les événements d'écoute se synchronisent plus tard selon le consentement.</t>
  </si>
  <si>
    <t xml:space="preserve">F-LOC-002;F-NAR-002</t>
  </si>
  <si>
    <t xml:space="preserve">feat/F-PLY-004-hors-connexion</t>
  </si>
  <si>
    <t xml:space="preserve">F-FOR-001</t>
  </si>
  <si>
    <t xml:space="preserve">Constitution de la forêt parentale</t>
  </si>
  <si>
    <t xml:space="preserve">Sous-ensemble dynamique du catalogue après filtres d'âge, domaines, leçons, exclusions, priorités. Recalcul dès qu'un filtre change (FOR-001). Un arbre n'est admissible que si TOUS les chemins encore exécutables respectent les exclusions (FOR-002).</t>
  </si>
  <si>
    <t xml:space="preserve">F-TAX-003;F-NAR-001</t>
  </si>
  <si>
    <t xml:space="preserve">feat/F-FOR-001-foret-parentale</t>
  </si>
  <si>
    <t xml:space="preserve">F-FOR-002</t>
  </si>
  <si>
    <t xml:space="preserve">Élagage sûr</t>
  </si>
  <si>
    <t xml:space="preserve">Une exclusion retire un chemin, jamais une question qui pointerait vers une option disparue. Contrôle : nœuds accessibles, au moins une feuille, audios orphelins exclus, arbre incohérent retiré (PRU-001 à 004).</t>
  </si>
  <si>
    <t xml:space="preserve">feat/F-FOR-002-elagage</t>
  </si>
  <si>
    <t xml:space="preserve">F-FOR-003</t>
  </si>
  <si>
    <t xml:space="preserve">Jauge parentale de forêt</t>
  </si>
  <si>
    <t xml:space="preserve">Afficher nombre d'arbres, nombre de parcours, durée audio totale, durée inédite estimée, taille de téléchargement (FOR-003, FOR-004).</t>
  </si>
  <si>
    <t xml:space="preserve">feat/F-FOR-003-jauge-foret</t>
  </si>
  <si>
    <t xml:space="preserve">F-LOC-001</t>
  </si>
  <si>
    <t xml:space="preserve">Politique de stockage paramétrable</t>
  </si>
  <si>
    <t xml:space="preserve">Nombre cible (10/20/50/100), taille max Mo, Wi-Fi only, renouvellement on/off, seuil d'inédits, favoris protégés, confirmation ou remplacement auto des consommés, téléchargement nocturne. Défaut recommandé : 50 arbres, seuil 10, Wi-Fi, favoris et historique conservés (DL-001 à 003).</t>
  </si>
  <si>
    <t xml:space="preserve">feat/F-LOC-001-politique-stock</t>
  </si>
  <si>
    <t xml:space="preserve">F-LOC-002</t>
  </si>
  <si>
    <t xml:space="preserve">Paquets, checksums, activation atomique</t>
  </si>
  <si>
    <t xml:space="preserve">Un arbre = manifeste + graphe + audios segmentés + checksums + leçons. Téléchargement en zone temporaire, vérification version/taille/empreinte, activation atomique. Échec = ancien contenu intact (REN-007, NFR-004).</t>
  </si>
  <si>
    <t xml:space="preserve">feat/F-LOC-002-paquets</t>
  </si>
  <si>
    <t xml:space="preserve">F-LOC-003</t>
  </si>
  <si>
    <t xml:space="preserve">États d'arbre local</t>
  </si>
  <si>
    <t xml:space="preserve">AVAILABLE, IN_PROGRESS, CONSUMED, REPLAYABLE, EVICTION_CANDIDATE, REMOVED, EXCLUDED, download_pending. Un consommé n'est pas effacé tout de suite.</t>
  </si>
  <si>
    <t xml:space="preserve">feat/F-LOC-003-etats-arbre</t>
  </si>
  <si>
    <t xml:space="preserve">F-REN-001</t>
  </si>
  <si>
    <t xml:space="preserve">Renouvellement automatique</t>
  </si>
  <si>
    <t xml:space="preserve">Sous le seuil d'inédits, recherche dans la forêt parentale, lot pour revenir au stock cible, inédits d'abord, priorités et diversité, puis hasard. Les nouveautés remplacent les consommés. Sans nouveauté : nouveau cycle (REN-001 à 006).</t>
  </si>
  <si>
    <t xml:space="preserve">F-LOC-001;F-FOR-001</t>
  </si>
  <si>
    <t xml:space="preserve">feat/F-REN-001-renouvellement-auto</t>
  </si>
  <si>
    <t xml:space="preserve">F-REN-002</t>
  </si>
  <si>
    <t xml:space="preserve">Éviction et cycles</t>
  </si>
  <si>
    <t xml:space="preserve">Score d'éviction : ancienneté + écoutes + redondance − favori − priorité − en-cours. Protégés : en cours, jamais consommé, favori, unique d'une leçon prioritaire. Cycle : tout consommé une fois, remix, pas le même arbre en premier, favoriser branches inconnues (CYC-001 à 003).</t>
  </si>
  <si>
    <t xml:space="preserve">F-REN-001;F-HIS-001</t>
  </si>
  <si>
    <t xml:space="preserve">feat/F-REN-002-eviction-cycles</t>
  </si>
  <si>
    <t xml:space="preserve">F-REN-003</t>
  </si>
  <si>
    <t xml:space="preserve">Historique léger après suppression audio</t>
  </si>
  <si>
    <t xml:space="preserve">Supprimer l'audio conserve : tree_id, version, dates, nœuds, fins, réponses éducatives, réécoutes, leçons, avis parent (HIS-002). Si retéléchargement, on sait ce que l'enfant connaît déjà.</t>
  </si>
  <si>
    <t xml:space="preserve">F-HIS-001</t>
  </si>
  <si>
    <t xml:space="preserve">feat/F-REN-003-historique-leger</t>
  </si>
  <si>
    <t xml:space="preserve">F-PAR-001</t>
  </si>
  <si>
    <t xml:space="preserve">Tableau de bord</t>
  </si>
  <si>
    <t xml:space="preserve">47/50 téléchargés, inédits, consommés, nouveautés compatibles, Mo utilisés, prochaine synchro, leçons rencontrées sans note ni diagnostic. Notifications configurables : stock bas, nouveautés, erreur, contenu retiré — jamais vers l'enfant (NOT-001, NOT-002).</t>
  </si>
  <si>
    <t xml:space="preserve">F-FOR-003;F-SEC-001</t>
  </si>
  <si>
    <t xml:space="preserve">feat/F-PAR-001-tableau-de-bord</t>
  </si>
  <si>
    <t xml:space="preserve">F-PAR-002</t>
  </si>
  <si>
    <t xml:space="preserve">Exploration et actions sur un arbre</t>
  </si>
  <si>
    <t xml:space="preserve">Voir domaine, leçons, âge, durée, taille, statut. Filtrer déjà raconté / branches inconnues. Actions : préécouter, valider, invalider, signaler, télécharger, supprimer, conserver, favori, réécoute, reset historique d'un arbre, demander une autre histoire sur la même leçon (PAR-001 à 003).</t>
  </si>
  <si>
    <t xml:space="preserve">feat/F-PAR-002-actions-arbre</t>
  </si>
  <si>
    <t xml:space="preserve">F-PAR-003</t>
  </si>
  <si>
    <t xml:space="preserve">Préécoute et approbation</t>
  </si>
  <si>
    <t xml:space="preserve">Préécoute complète ou extrait (accroche + leçon + fin). N'apparaît pas comme écoute enfant. Valider rend l'arbre jouable pour ce profil et cette version. Invalider retire et empêche le retéléchargement auto tant que ça tient (APP-002). Motifs de refus tracés.</t>
  </si>
  <si>
    <t xml:space="preserve">F-PAR-002;F-VAL-002</t>
  </si>
  <si>
    <t xml:space="preserve">feat/F-PAR-003-preecoute-validation</t>
  </si>
  <si>
    <t xml:space="preserve">F-PAR-004</t>
  </si>
  <si>
    <t xml:space="preserve">Signalement</t>
  </si>
  <si>
    <t xml:space="preserve">Motifs : pédagogique, narratif, audio, juridique, technique, rupture de neutralité. Signalement grave retire l'arbre du profil et peut le retirer du catalogue après revue.</t>
  </si>
  <si>
    <t xml:space="preserve">feat/F-PAR-004-signalement</t>
  </si>
  <si>
    <t xml:space="preserve">F-PAR-005</t>
  </si>
  <si>
    <t xml:space="preserve">Politique de validation éditoriale vs unitaire</t>
  </si>
  <si>
    <t xml:space="preserve">Tranché plus tard (APP-001) : chaque arbre, ou collection certifiée préapprouvée. En attendant le MVP : collection certifiée + file de préécoute pour les nouveautés générées.</t>
  </si>
  <si>
    <t xml:space="preserve">feat/F-PAR-005-politique-approbation</t>
  </si>
  <si>
    <t xml:space="preserve">F-CUS-001</t>
  </si>
  <si>
    <t xml:space="preserve">Saisie et reformulation encadrée</t>
  </si>
  <si>
    <t xml:space="preserve">Le parent saisit une leçon en langage naturel. Reformulation en objectif structuré dans le cadre neutre. Détection risques (médical, religieux, politique, genre, punitif, dangereux). Confirmation parentale de la fiche. Jamais d'accès enfant immédiat (CUS-001, CUS-002).</t>
  </si>
  <si>
    <t xml:space="preserve">F-TAX-002;F-NEU-001</t>
  </si>
  <si>
    <t xml:space="preserve">feat/F-CUS-001-lecon-parentale</t>
  </si>
  <si>
    <t xml:space="preserve">F-CUS-002</t>
  </si>
  <si>
    <t xml:space="preserve">Isolation jusqu'à publication</t>
  </si>
  <si>
    <t xml:space="preserve">Une leçon parentale reste isolée des autres familles tant qu'elle n'est pas revue et publiable. Génération amont + validateurs + préécoute puis forêt parentale de CE compte seulement, sauf promotion éditoriale ultérieure.</t>
  </si>
  <si>
    <t xml:space="preserve">F-CUS-001;F-GEN-001</t>
  </si>
  <si>
    <t xml:space="preserve">feat/F-CUS-002-isolation-lecon</t>
  </si>
  <si>
    <t xml:space="preserve">F-GEN-001</t>
  </si>
  <si>
    <t xml:space="preserve">Chaîne de génération amont</t>
  </si>
  <si>
    <t xml:space="preserve">Hors exécution enfant : choisir leçons et contraintes → construire l'arbre → écrire textes dans le vocabulaire autorisé → questions et intentions → contrôles → relecture selon risque → TTS → durées réelles → simulation de tous les chemins → publication versionnée immuable (GEN-001 à 003).</t>
  </si>
  <si>
    <t xml:space="preserve">F-NAR-001;F-NEU-001</t>
  </si>
  <si>
    <t xml:space="preserve">feat/F-GEN-001-chaine-generation</t>
  </si>
  <si>
    <t xml:space="preserve">F-GEN-002</t>
  </si>
  <si>
    <t xml:space="preserve">Simulateur de tous les chemins</t>
  </si>
  <si>
    <t xml:space="preserve">Avant publication, chaque racine-feuille est simulé : durées, questions, intentions, scripts positifs, absence d'actions nommées interdites, continuité personnages. Un chemin non simulable n'est pas publié.</t>
  </si>
  <si>
    <t xml:space="preserve">feat/F-GEN-002-simulateur-chemins</t>
  </si>
  <si>
    <t xml:space="preserve">F-VAL-001</t>
  </si>
  <si>
    <t xml:space="preserve">Validateurs automatiques</t>
  </si>
  <si>
    <t xml:space="preserve">Structure (schéma, racine, feuilles, boucles, checksums). Pédagogie. Formulation positive. Neutralité. Différences sans moquerie valorisée. Langue/oral. Audio. Droit / franchises. Rapport conservé avec versions des outils (VAL-002). Règle bloquante &gt; score moyen (VAL-001).</t>
  </si>
  <si>
    <t xml:space="preserve">F-GEN-001;F-NEU-005</t>
  </si>
  <si>
    <t xml:space="preserve">feat/F-VAL-001-validateurs</t>
  </si>
  <si>
    <t xml:space="preserve">F-VAL-002</t>
  </si>
  <si>
    <t xml:space="preserve">Rapport de validation lisible parent</t>
  </si>
  <si>
    <t xml:space="preserve">Version parent : alignement éducatif, âge, clarté audio, sécurité pass/fail, droit, durée, alertes en français clair (« Cette histoire a été bloquée parce que… »). Version interne plus technique.</t>
  </si>
  <si>
    <t xml:space="preserve">feat/F-VAL-002-rapport-validation</t>
  </si>
  <si>
    <t xml:space="preserve">F-AUD-001</t>
  </si>
  <si>
    <t xml:space="preserve">Paquet audio par nœud</t>
  </si>
  <si>
    <t xml:space="preserve">Découpage par nœud, raccords propres, pas de silence anormal. Permet reprise précise et d'exclure les branches élaguées du téléchargement (AUD-001 à 003).</t>
  </si>
  <si>
    <t xml:space="preserve">feat/F-AUD-001-decoupage-noeuds</t>
  </si>
  <si>
    <t xml:space="preserve">F-AUD-002</t>
  </si>
  <si>
    <t xml:space="preserve">Mesure de durée et normalisation</t>
  </si>
  <si>
    <t xml:space="preserve">Durée réelle stockée par nœud. Volume homogène. Pauses avant/après questions. Pas de pic en mode nuit. Noms oralement distincts. Interdiction des consignes visuelles.</t>
  </si>
  <si>
    <t xml:space="preserve">feat/F-AUD-002-duree-normalisation</t>
  </si>
  <si>
    <t xml:space="preserve">F-AUD-003</t>
  </si>
  <si>
    <t xml:space="preserve">Voix et vitesse parentales</t>
  </si>
  <si>
    <t xml:space="preserve">Une voix principale par profil. Changement de voix interdit en cours d'arbre sauf dialogue prévalidé. Vitesse bornée pour ne pas casser la compréhension.</t>
  </si>
  <si>
    <t xml:space="preserve">F-PRF-001;F-AUD-001</t>
  </si>
  <si>
    <t xml:space="preserve">feat/F-AUD-003-voix-vitesse</t>
  </si>
  <si>
    <t xml:space="preserve">Journal d'écoute</t>
  </si>
  <si>
    <t xml:space="preserve">Par session : date, durée réelle, arbre, version, nœuds, choix ou défauts, leçons, fin, mode jour/nuit, interruptions (HIS-001). Pas de « note » enfant.</t>
  </si>
  <si>
    <t xml:space="preserve">feat/F-HIS-001-journal-ecoute</t>
  </si>
  <si>
    <t xml:space="preserve">F-HIS-002</t>
  </si>
  <si>
    <t xml:space="preserve">Vue parent « ce qui a été entendu »</t>
  </si>
  <si>
    <t xml:space="preserve">Leçons rencontrées / jamais rencontrées, favoris, refus parentaux, taux de fins. Biais discret de révision pour une leçon prioritaire oubliée, sans SRS scolaire visible.</t>
  </si>
  <si>
    <t xml:space="preserve">F-HIS-001;F-PAR-001</t>
  </si>
  <si>
    <t xml:space="preserve">feat/F-HIS-002-vue-apprentissage</t>
  </si>
  <si>
    <t xml:space="preserve">F-ADM-001</t>
  </si>
  <si>
    <t xml:space="preserve">Cycle de vie éditorial</t>
  </si>
  <si>
    <t xml:space="preserve">Créer, valider, publier, suspendre, retirer. Versions de leçons, arbres, voix, fichiers. Pas de modification silencieuse (ADM-001). Procédure d'urgence pour contenu dangereux ou juridique (ADM-002).</t>
  </si>
  <si>
    <t xml:space="preserve">feat/F-ADM-001-cycle-editorial</t>
  </si>
  <si>
    <t xml:space="preserve">F-ADM-002</t>
  </si>
  <si>
    <t xml:space="preserve">Retrait critique et feature flags</t>
  </si>
  <si>
    <t xml:space="preserve">Identifier les profils concernés. Bloquer le retéléchargement. Suppression locale à la prochaine synchro. Flags pour reco vocale, renouvellement nocturne, leçons parentales — un flag ne contourne jamais un validateur de sécurité.</t>
  </si>
  <si>
    <t xml:space="preserve">feat/F-ADM-002-retrait-flags</t>
  </si>
  <si>
    <t xml:space="preserve">F-ADM-003</t>
  </si>
  <si>
    <t xml:space="preserve">Support et observabilité</t>
  </si>
  <si>
    <t xml:space="preserve">Journal technique minimisé (versions, erreurs téléchargement, codes de validation) sans audio enfant. Rejeu d'un parcours à partir de l'id de version et des décisions (NFR-009, NFR-010).</t>
  </si>
  <si>
    <t xml:space="preserve">feat/F-ADM-003-observabilite</t>
  </si>
  <si>
    <t xml:space="preserve">F-PRI-001</t>
  </si>
  <si>
    <t xml:space="preserve">Minimisation et local-first vocal</t>
  </si>
  <si>
    <t xml:space="preserve">Séparer compte parent et événements enfant. Pas d'enregistrement brut par défaut. Traitement local des réponses dès que possible. Pas de pub ciblée enfant. Conformité mineurs avant store (PRI-001 à 006).</t>
  </si>
  <si>
    <t xml:space="preserve">feat/F-PRI-001-privacy</t>
  </si>
  <si>
    <t xml:space="preserve">F-V2-001</t>
  </si>
  <si>
    <t xml:space="preserve">Corpus fermé d'entraînement</t>
  </si>
  <si>
    <t xml:space="preserve">Chaque arbre publié (texte, graphe, intentions, audio) entre dans un corpus neutre unique. Usage futur : entraîner un mini-modèle qui ne parle que de l'histoire. Hors MVP.</t>
  </si>
  <si>
    <t xml:space="preserve">F-GEN-001;F-NEU-001</t>
  </si>
  <si>
    <t xml:space="preserve">feat/F-V2-001-corpus-neutre</t>
  </si>
  <si>
    <t xml:space="preserve">F-V2-002</t>
  </si>
  <si>
    <t xml:space="preserve">Mini-LLM borné à l'histoire</t>
  </si>
  <si>
    <t xml:space="preserve">Questions sur le récit en cours uniquement. Hors sujet : phrase fixe « On parle de notre histoire. Tu peux demander à papa ou maman. » Pas de grand modèle généraliste. Après réponses fermées et tests de sécurité.</t>
  </si>
  <si>
    <t xml:space="preserve">F-V2-001;F-INT-002</t>
  </si>
  <si>
    <t xml:space="preserve">feat/F-V2-002-mini-llm</t>
  </si>
  <si>
    <t xml:space="preserve">F-V2-003</t>
  </si>
  <si>
    <t xml:space="preserve">Voice-to-voice spécialisé</t>
  </si>
  <si>
    <t xml:space="preserve">Entraînement vocal sur les mêmes tours de parole neutres. Dernière étape volontaire. N'est pas un argument de vente du MVP.</t>
  </si>
  <si>
    <t xml:space="preserve">feat/F-V2-003-voice-to-voice</t>
  </si>
  <si>
    <t xml:space="preserve">Première découpe conseillée — seulement les P0</t>
  </si>
  <si>
    <t xml:space="preserve">Objectif : un parent crée un profil, un arbre pilote validé se télécharge, l'enfant écoute hors ligne jusqu'à une fin, sans LLM.</t>
  </si>
  <si>
    <t xml:space="preserve">Ordre suggéré</t>
  </si>
  <si>
    <t xml:space="preserve">Pourquoi maintenant</t>
  </si>
  <si>
    <t xml:space="preserve">1</t>
  </si>
  <si>
    <t xml:space="preserve">Taxonomie</t>
  </si>
  <si>
    <t xml:space="preserve">Sans leçons, rien à raconter.</t>
  </si>
  <si>
    <t xml:space="preserve">2</t>
  </si>
  <si>
    <t xml:space="preserve">Fiche leçon</t>
  </si>
  <si>
    <t xml:space="preserve">Contrat du générateur et des validateurs.</t>
  </si>
  <si>
    <t xml:space="preserve">3</t>
  </si>
  <si>
    <t xml:space="preserve">Vocabulaire neutre</t>
  </si>
  <si>
    <t xml:space="preserve">Règle éditoriale avant d'écrire la moindre scène.</t>
  </si>
  <si>
    <t xml:space="preserve">4</t>
  </si>
  <si>
    <t xml:space="preserve">Formulation positive</t>
  </si>
  <si>
    <t xml:space="preserve">Idem, sinon les arbres pilotes seront à jeter.</t>
  </si>
  <si>
    <t xml:space="preserve">5</t>
  </si>
  <si>
    <t xml:space="preserve">Modèle arbre</t>
  </si>
  <si>
    <t xml:space="preserve">Schéma JSON avant le moteur.</t>
  </si>
  <si>
    <t xml:space="preserve">6</t>
  </si>
  <si>
    <t xml:space="preserve">Chaîne génération</t>
  </si>
  <si>
    <t xml:space="preserve">Produire 1 à 6 arbres pilotes.</t>
  </si>
  <si>
    <t xml:space="preserve">7</t>
  </si>
  <si>
    <t xml:space="preserve">Simulateur</t>
  </si>
  <si>
    <t xml:space="preserve">Tous les chemins du parc pilote.</t>
  </si>
  <si>
    <t xml:space="preserve">8</t>
  </si>
  <si>
    <t xml:space="preserve">Validateurs</t>
  </si>
  <si>
    <t xml:space="preserve">Rien n'atteint l'enfant sans ça.</t>
  </si>
  <si>
    <t xml:space="preserve">9</t>
  </si>
  <si>
    <t xml:space="preserve">Validateur éditorial</t>
  </si>
  <si>
    <t xml:space="preserve">Neutralité + idées dangereuses.</t>
  </si>
  <si>
    <t xml:space="preserve">10</t>
  </si>
  <si>
    <t xml:space="preserve">Découpage audio</t>
  </si>
  <si>
    <t xml:space="preserve">Paquet jouable.</t>
  </si>
  <si>
    <t xml:space="preserve">11</t>
  </si>
  <si>
    <t xml:space="preserve">Durées réelles</t>
  </si>
  <si>
    <t xml:space="preserve">Le moteur en a besoin.</t>
  </si>
  <si>
    <t xml:space="preserve">12</t>
  </si>
  <si>
    <t xml:space="preserve">Compte parent</t>
  </si>
  <si>
    <t xml:space="preserve">Premier écran utile.</t>
  </si>
  <si>
    <t xml:space="preserve">13</t>
  </si>
  <si>
    <t xml:space="preserve">Cloisonnement.</t>
  </si>
  <si>
    <t xml:space="preserve">14</t>
  </si>
  <si>
    <t xml:space="preserve">Profil enfant</t>
  </si>
  <si>
    <t xml:space="preserve">Cible de la forêt.</t>
  </si>
  <si>
    <t xml:space="preserve">15</t>
  </si>
  <si>
    <t xml:space="preserve">Niveaux d'âge</t>
  </si>
  <si>
    <t xml:space="preserve">Filtre N2/N3 pour le pilote.</t>
  </si>
  <si>
    <t xml:space="preserve">16</t>
  </si>
  <si>
    <t xml:space="preserve">Priorités parent</t>
  </si>
  <si>
    <t xml:space="preserve">Mini-forêt.</t>
  </si>
  <si>
    <t xml:space="preserve">17</t>
  </si>
  <si>
    <t xml:space="preserve">Forêt parentale</t>
  </si>
  <si>
    <t xml:space="preserve">Quels arbres sont autorisés.</t>
  </si>
  <si>
    <t xml:space="preserve">18</t>
  </si>
  <si>
    <t xml:space="preserve">Paquets + checksums</t>
  </si>
  <si>
    <t xml:space="preserve">Téléchargement sûr.</t>
  </si>
  <si>
    <t xml:space="preserve">19</t>
  </si>
  <si>
    <t xml:space="preserve">États locaux</t>
  </si>
  <si>
    <t xml:space="preserve">AVAILABLE / IN_PROGRESS / CONSUMED.</t>
  </si>
  <si>
    <t xml:space="preserve">20</t>
  </si>
  <si>
    <t xml:space="preserve">Moteur local</t>
  </si>
  <si>
    <t xml:space="preserve">Cœur runtime.</t>
  </si>
  <si>
    <t xml:space="preserve">21</t>
  </si>
  <si>
    <t xml:space="preserve">Ordonnanceur</t>
  </si>
  <si>
    <t xml:space="preserve">Choisir l'arbre.</t>
  </si>
  <si>
    <t xml:space="preserve">22</t>
  </si>
  <si>
    <t xml:space="preserve">Reprise</t>
  </si>
  <si>
    <t xml:space="preserve">Le téléphone sonne.</t>
  </si>
  <si>
    <t xml:space="preserve">23</t>
  </si>
  <si>
    <t xml:space="preserve">Lecteur pauvre</t>
  </si>
  <si>
    <t xml:space="preserve">Mode enfant.</t>
  </si>
  <si>
    <t xml:space="preserve">24</t>
  </si>
  <si>
    <t xml:space="preserve">Cloison enfant</t>
  </si>
  <si>
    <t xml:space="preserve">Pas de réglages.</t>
  </si>
  <si>
    <t xml:space="preserve">25</t>
  </si>
  <si>
    <t xml:space="preserve">Première session.</t>
  </si>
  <si>
    <t xml:space="preserve">26</t>
  </si>
  <si>
    <t xml:space="preserve">Hors connexion</t>
  </si>
  <si>
    <t xml:space="preserve">Promesse produit.</t>
  </si>
  <si>
    <t xml:space="preserve">27</t>
  </si>
  <si>
    <t xml:space="preserve">Préécoute + valider</t>
  </si>
  <si>
    <t xml:space="preserve">L'enfant n'écoute que du validé.</t>
  </si>
  <si>
    <t xml:space="preserve">28</t>
  </si>
  <si>
    <t xml:space="preserve">Privacy de base</t>
  </si>
  <si>
    <t xml:space="preserve">Avant tout store.</t>
  </si>
</sst>
</file>

<file path=xl/styles.xml><?xml version="1.0" encoding="utf-8"?>
<styleSheet xmlns="http://schemas.openxmlformats.org/spreadsheetml/2006/main">
  <numFmts count="4">
    <numFmt numFmtId="164" formatCode="General"/>
    <numFmt numFmtId="165" formatCode="General"/>
    <numFmt numFmtId="166" formatCode="0.0%"/>
    <numFmt numFmtId="167" formatCode="0%"/>
  </numFmts>
  <fonts count="11">
    <font>
      <sz val="11"/>
      <color theme="1"/>
      <name val="Calibri"/>
      <family val="2"/>
      <charset val="1"/>
    </font>
    <font>
      <sz val="10"/>
      <name val="Arial"/>
      <family val="0"/>
    </font>
    <font>
      <sz val="10"/>
      <name val="Arial"/>
      <family val="0"/>
    </font>
    <font>
      <sz val="10"/>
      <name val="Arial"/>
      <family val="0"/>
    </font>
    <font>
      <b val="true"/>
      <sz val="18"/>
      <color rgb="FF2F5D50"/>
      <name val="Calibri"/>
      <family val="0"/>
      <charset val="1"/>
    </font>
    <font>
      <i val="true"/>
      <sz val="11"/>
      <color rgb="FF5A5A5A"/>
      <name val="Calibri"/>
      <family val="0"/>
      <charset val="1"/>
    </font>
    <font>
      <b val="true"/>
      <sz val="11"/>
      <color rgb="FF2F5D50"/>
      <name val="Calibri"/>
      <family val="0"/>
      <charset val="1"/>
    </font>
    <font>
      <b val="true"/>
      <sz val="14"/>
      <color rgb="FF2C2C2C"/>
      <name val="Calibri"/>
      <family val="0"/>
      <charset val="1"/>
    </font>
    <font>
      <b val="true"/>
      <sz val="11"/>
      <color rgb="FFFFFFFF"/>
      <name val="Calibri"/>
      <family val="0"/>
      <charset val="1"/>
    </font>
    <font>
      <sz val="10"/>
      <color rgb="FF2C2C2C"/>
      <name val="Calibri"/>
      <family val="0"/>
      <charset val="1"/>
    </font>
    <font>
      <b val="true"/>
      <sz val="10"/>
      <color rgb="FFC45C26"/>
      <name val="Calibri"/>
      <family val="0"/>
      <charset val="1"/>
    </font>
  </fonts>
  <fills count="10">
    <fill>
      <patternFill patternType="none"/>
    </fill>
    <fill>
      <patternFill patternType="gray125"/>
    </fill>
    <fill>
      <patternFill patternType="solid">
        <fgColor rgb="FFF7F1E8"/>
        <bgColor rgb="FFF8EDE4"/>
      </patternFill>
    </fill>
    <fill>
      <patternFill patternType="solid">
        <fgColor rgb="FFF8D7D0"/>
        <bgColor rgb="FFF8EDE4"/>
      </patternFill>
    </fill>
    <fill>
      <patternFill patternType="solid">
        <fgColor rgb="FFF8EDE4"/>
        <bgColor rgb="FFF7F1E8"/>
      </patternFill>
    </fill>
    <fill>
      <patternFill patternType="solid">
        <fgColor rgb="FF2F5D50"/>
        <bgColor rgb="FF5A5A5A"/>
      </patternFill>
    </fill>
    <fill>
      <patternFill patternType="solid">
        <fgColor rgb="FFF4F7F6"/>
        <bgColor rgb="FFF7F1E8"/>
      </patternFill>
    </fill>
    <fill>
      <patternFill patternType="solid">
        <fgColor rgb="FFE6F0EC"/>
        <bgColor rgb="FFEEEEEE"/>
      </patternFill>
    </fill>
    <fill>
      <patternFill patternType="solid">
        <fgColor rgb="FFEEEEEE"/>
        <bgColor rgb="FFE6F0EC"/>
      </patternFill>
    </fill>
    <fill>
      <patternFill patternType="solid">
        <fgColor rgb="FFFFFFFF"/>
        <bgColor rgb="FFF4F7F6"/>
      </patternFill>
    </fill>
  </fills>
  <borders count="2">
    <border diagonalUp="false" diagonalDown="false">
      <left/>
      <right/>
      <top/>
      <bottom/>
      <diagonal/>
    </border>
    <border diagonalUp="false" diagonalDown="false">
      <left style="thin">
        <color rgb="FFD0D5D3"/>
      </left>
      <right style="thin">
        <color rgb="FFD0D5D3"/>
      </right>
      <top style="thin">
        <color rgb="FFD0D5D3"/>
      </top>
      <bottom style="thin">
        <color rgb="FFD0D5D3"/>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7" fillId="2" borderId="0" xfId="0" applyFont="true" applyBorder="false" applyAlignment="true" applyProtection="false">
      <alignment horizontal="center" vertical="center" textRotation="0" wrapText="true" indent="0" shrinkToFit="false"/>
      <protection locked="true" hidden="false"/>
    </xf>
    <xf numFmtId="165" fontId="7" fillId="0" borderId="0" xfId="0" applyFont="true" applyBorder="false" applyAlignment="true" applyProtection="false">
      <alignment horizontal="center" vertical="center" textRotation="0" wrapText="true" indent="0" shrinkToFit="false"/>
      <protection locked="true" hidden="false"/>
    </xf>
    <xf numFmtId="165" fontId="7" fillId="3" borderId="0" xfId="0" applyFont="true" applyBorder="false" applyAlignment="true" applyProtection="false">
      <alignment horizontal="center" vertical="center" textRotation="0" wrapText="true" indent="0" shrinkToFit="false"/>
      <protection locked="true" hidden="false"/>
    </xf>
    <xf numFmtId="165" fontId="7" fillId="4" borderId="0" xfId="0" applyFont="true" applyBorder="false" applyAlignment="true" applyProtection="false">
      <alignment horizontal="center" vertical="center" textRotation="0" wrapText="true" indent="0" shrinkToFit="false"/>
      <protection locked="true" hidden="false"/>
    </xf>
    <xf numFmtId="166" fontId="7" fillId="0" borderId="0" xfId="0" applyFont="true" applyBorder="false" applyAlignment="true" applyProtection="false">
      <alignment horizontal="center" vertical="center" textRotation="0" wrapText="true" indent="0" shrinkToFit="false"/>
      <protection locked="true" hidden="false"/>
    </xf>
    <xf numFmtId="164" fontId="8" fillId="5" borderId="1"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false">
      <alignment horizontal="general" vertical="center" textRotation="0" wrapText="true" indent="0" shrinkToFit="false"/>
      <protection locked="true" hidden="false"/>
    </xf>
    <xf numFmtId="167" fontId="9" fillId="6" borderId="1" xfId="0" applyFont="true" applyBorder="true" applyAlignment="true" applyProtection="false">
      <alignment horizontal="general" vertical="center" textRotation="0" wrapText="true" indent="0" shrinkToFit="false"/>
      <protection locked="true" hidden="false"/>
    </xf>
    <xf numFmtId="164" fontId="9" fillId="0" borderId="1" xfId="0" applyFont="true" applyBorder="true" applyAlignment="true" applyProtection="false">
      <alignment horizontal="general" vertical="center" textRotation="0" wrapText="true" indent="0" shrinkToFit="false"/>
      <protection locked="true" hidden="false"/>
    </xf>
    <xf numFmtId="167" fontId="9" fillId="0" borderId="1" xfId="0" applyFont="true" applyBorder="true" applyAlignment="true" applyProtection="false">
      <alignment horizontal="general" vertical="center" textRotation="0" wrapText="true" indent="0" shrinkToFit="false"/>
      <protection locked="true" hidden="false"/>
    </xf>
    <xf numFmtId="164" fontId="8" fillId="5" borderId="1" xfId="0" applyFont="true" applyBorder="true" applyAlignment="false" applyProtection="false">
      <alignment horizontal="general" vertical="bottom" textRotation="0" wrapText="false" indent="0" shrinkToFit="false"/>
      <protection locked="true" hidden="false"/>
    </xf>
    <xf numFmtId="164" fontId="9" fillId="6"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10" fillId="3"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xf numFmtId="164" fontId="10" fillId="4" borderId="1" xfId="0" applyFont="true" applyBorder="true" applyAlignment="true" applyProtection="false">
      <alignment horizontal="general"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10" fillId="7" borderId="1" xfId="0" applyFont="true" applyBorder="true" applyAlignment="true" applyProtection="false">
      <alignment horizontal="general" vertical="top" textRotation="0" wrapText="true" indent="0" shrinkToFit="false"/>
      <protection locked="true" hidden="false"/>
    </xf>
    <xf numFmtId="164" fontId="9" fillId="7" borderId="1" xfId="0" applyFont="true" applyBorder="true" applyAlignment="true" applyProtection="false">
      <alignment horizontal="general" vertical="top" textRotation="0" wrapText="true" indent="0" shrinkToFit="false"/>
      <protection locked="true" hidden="false"/>
    </xf>
    <xf numFmtId="164" fontId="10" fillId="8" borderId="1" xfId="0" applyFont="true" applyBorder="true" applyAlignment="true" applyProtection="false">
      <alignment horizontal="general" vertical="top" textRotation="0" wrapText="true" indent="0" shrinkToFit="false"/>
      <protection locked="true" hidden="false"/>
    </xf>
    <xf numFmtId="164" fontId="9" fillId="8" borderId="1" xfId="0" applyFont="true" applyBorder="true" applyAlignment="true" applyProtection="false">
      <alignment horizontal="general" vertical="top" textRotation="0" wrapText="true" indent="0" shrinkToFit="false"/>
      <protection locked="true" hidden="false"/>
    </xf>
    <xf numFmtId="164" fontId="9" fillId="9" borderId="1" xfId="0" applyFont="true" applyBorder="true" applyAlignment="true" applyProtection="false">
      <alignment horizontal="general" vertical="top" textRotation="0" wrapText="true" indent="0" shrinkToFit="false"/>
      <protection locked="true" hidden="false"/>
    </xf>
    <xf numFmtId="164" fontId="10" fillId="9"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2F5D50"/>
          <bgColor rgb="FF000000"/>
        </patternFill>
      </fill>
    </dxf>
    <dxf>
      <fill>
        <patternFill patternType="solid">
          <fgColor rgb="FFE6F0EC"/>
          <bgColor rgb="FF000000"/>
        </patternFill>
      </fill>
    </dxf>
    <dxf>
      <fill>
        <patternFill patternType="solid">
          <fgColor rgb="FFEEEEEE"/>
          <bgColor rgb="FF000000"/>
        </patternFill>
      </fill>
    </dxf>
    <dxf>
      <fill>
        <patternFill patternType="solid">
          <fgColor rgb="FFF8D7D0"/>
          <bgColor rgb="FF000000"/>
        </patternFill>
      </fill>
    </dxf>
    <dxf>
      <fill>
        <patternFill patternType="solid">
          <fgColor rgb="FFF8EDE4"/>
          <bgColor rgb="FF000000"/>
        </patternFill>
      </fill>
    </dxf>
    <dxf>
      <fill>
        <patternFill patternType="solid">
          <fgColor rgb="FFC45C26"/>
          <bgColor rgb="FF000000"/>
        </patternFill>
      </fill>
    </dxf>
    <dxf>
      <fill>
        <patternFill patternType="solid">
          <fgColor rgb="FFFFFFFF"/>
          <bgColor rgb="FF000000"/>
        </patternFill>
      </fill>
    </dxf>
    <dxf>
      <fill>
        <patternFill patternType="solid">
          <fgColor rgb="FF2C2C2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7F1E8"/>
      <rgbColor rgb="FFE6F0EC"/>
      <rgbColor rgb="FF660066"/>
      <rgbColor rgb="FFFF8080"/>
      <rgbColor rgb="FF0066CC"/>
      <rgbColor rgb="FFD0D5D3"/>
      <rgbColor rgb="FF000080"/>
      <rgbColor rgb="FFFF00FF"/>
      <rgbColor rgb="FFFFFF00"/>
      <rgbColor rgb="FF00FFFF"/>
      <rgbColor rgb="FF800080"/>
      <rgbColor rgb="FF800000"/>
      <rgbColor rgb="FF008080"/>
      <rgbColor rgb="FF0000FF"/>
      <rgbColor rgb="FF00CCFF"/>
      <rgbColor rgb="FFF4F7F6"/>
      <rgbColor rgb="FFEEEEEE"/>
      <rgbColor rgb="FFF8EDE4"/>
      <rgbColor rgb="FF99CCFF"/>
      <rgbColor rgb="FFFF99CC"/>
      <rgbColor rgb="FFCC99FF"/>
      <rgbColor rgb="FFF8D7D0"/>
      <rgbColor rgb="FF3366FF"/>
      <rgbColor rgb="FF33CCCC"/>
      <rgbColor rgb="FF99CC00"/>
      <rgbColor rgb="FFFFCC00"/>
      <rgbColor rgb="FFFF9900"/>
      <rgbColor rgb="FFC45C26"/>
      <rgbColor rgb="FF5A5A5A"/>
      <rgbColor rgb="FF969696"/>
      <rgbColor rgb="FF003366"/>
      <rgbColor rgb="FF339966"/>
      <rgbColor rgb="FF003300"/>
      <rgbColor rgb="FF333300"/>
      <rgbColor rgb="FF993300"/>
      <rgbColor rgb="FF993366"/>
      <rgbColor rgb="FF2F5D50"/>
      <rgbColor rgb="FF2C2C2C"/>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F4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8"/>
    <col collapsed="false" customWidth="true" hidden="false" outlineLevel="0" max="4" min="3" style="0" width="12"/>
    <col collapsed="false" customWidth="true" hidden="false" outlineLevel="0" max="5" min="5" style="0" width="22"/>
    <col collapsed="false" customWidth="true" hidden="false" outlineLevel="0" max="6" min="6" style="0" width="14"/>
  </cols>
  <sheetData>
    <row r="2" customFormat="false" ht="22.05" hidden="false" customHeight="false" outlineLevel="0" collapsed="false">
      <c r="B2" s="1" t="s">
        <v>0</v>
      </c>
      <c r="C2" s="1"/>
      <c r="D2" s="1"/>
      <c r="E2" s="1"/>
      <c r="F2" s="1"/>
    </row>
    <row r="3" customFormat="false" ht="15" hidden="false" customHeight="false" outlineLevel="0" collapsed="false">
      <c r="B3" s="2" t="s">
        <v>1</v>
      </c>
      <c r="C3" s="2"/>
      <c r="D3" s="2"/>
      <c r="E3" s="2"/>
      <c r="F3" s="2"/>
    </row>
    <row r="5" customFormat="false" ht="18.65" hidden="false" customHeight="false" outlineLevel="0" collapsed="false">
      <c r="B5" s="3" t="s">
        <v>2</v>
      </c>
      <c r="C5" s="4" t="n">
        <f aca="false">COUNTA(Backlog!A2:A63)</f>
        <v>62</v>
      </c>
      <c r="E5" s="3" t="s">
        <v>3</v>
      </c>
      <c r="F5" s="5" t="n">
        <f aca="false">COUNTIF(Backlog!E2:E63,"P0")</f>
        <v>28</v>
      </c>
    </row>
    <row r="6" customFormat="false" ht="18.65" hidden="false" customHeight="false" outlineLevel="0" collapsed="false">
      <c r="B6" s="3" t="s">
        <v>4</v>
      </c>
      <c r="C6" s="5" t="n">
        <f aca="false">COUNTIF(Backlog!G2:G63,"À faire")</f>
        <v>62</v>
      </c>
      <c r="E6" s="3" t="s">
        <v>5</v>
      </c>
      <c r="F6" s="5" t="n">
        <f aca="false">COUNTIF(Backlog!E2:E63,"P1")</f>
        <v>22</v>
      </c>
    </row>
    <row r="7" customFormat="false" ht="18.65" hidden="false" customHeight="false" outlineLevel="0" collapsed="false">
      <c r="B7" s="3" t="s">
        <v>6</v>
      </c>
      <c r="C7" s="5" t="n">
        <f aca="false">COUNTIF(Backlog!G2:G63,"En cours")</f>
        <v>0</v>
      </c>
      <c r="E7" s="3" t="s">
        <v>7</v>
      </c>
      <c r="F7" s="5" t="n">
        <f aca="false">COUNTIF(Backlog!E2:E63,"P2")</f>
        <v>9</v>
      </c>
    </row>
    <row r="8" customFormat="false" ht="18.65" hidden="false" customHeight="false" outlineLevel="0" collapsed="false">
      <c r="B8" s="3" t="s">
        <v>8</v>
      </c>
      <c r="C8" s="5" t="n">
        <f aca="false">COUNTIF(Backlog!G2:G63,"En revue")</f>
        <v>0</v>
      </c>
      <c r="E8" s="3" t="s">
        <v>9</v>
      </c>
      <c r="F8" s="5" t="n">
        <f aca="false">COUNTIF(Backlog!E2:E63,"P3")</f>
        <v>3</v>
      </c>
    </row>
    <row r="9" customFormat="false" ht="18.65" hidden="false" customHeight="false" outlineLevel="0" collapsed="false">
      <c r="B9" s="3" t="s">
        <v>10</v>
      </c>
      <c r="C9" s="5" t="n">
        <f aca="false">COUNTIF(Backlog!G2:G63,"Fait")</f>
        <v>0</v>
      </c>
    </row>
    <row r="10" customFormat="false" ht="18.65" hidden="false" customHeight="false" outlineLevel="0" collapsed="false">
      <c r="B10" s="3" t="s">
        <v>11</v>
      </c>
      <c r="C10" s="5" t="n">
        <f aca="false">COUNTIF(Backlog!G2:G63,"Bloqué")</f>
        <v>0</v>
      </c>
      <c r="E10" s="3" t="s">
        <v>12</v>
      </c>
      <c r="F10" s="6" t="n">
        <f aca="false">COUNTIFS(Backlog!E2:E63,"P0",Backlog!G2:G63,"&lt;&gt;Fait")</f>
        <v>28</v>
      </c>
    </row>
    <row r="11" customFormat="false" ht="18.65" hidden="false" customHeight="false" outlineLevel="0" collapsed="false">
      <c r="B11" s="3" t="s">
        <v>13</v>
      </c>
      <c r="C11" s="5" t="n">
        <f aca="false">COUNTIF(Backlog!G2:G63,"Plus tard")</f>
        <v>0</v>
      </c>
      <c r="E11" s="3" t="s">
        <v>14</v>
      </c>
      <c r="F11" s="7" t="n">
        <f aca="false">COUNTIFS(Backlog!E2:E63,"P1",Backlog!G2:G63,"&lt;&gt;Fait")</f>
        <v>22</v>
      </c>
    </row>
    <row r="12" customFormat="false" ht="18.65" hidden="false" customHeight="false" outlineLevel="0" collapsed="false">
      <c r="B12" s="3" t="s">
        <v>15</v>
      </c>
      <c r="C12" s="8" t="n">
        <f aca="false">IF(C5=0,0,C9/C5)</f>
        <v>0</v>
      </c>
    </row>
    <row r="14" customFormat="false" ht="15" hidden="false" customHeight="false" outlineLevel="0" collapsed="false">
      <c r="B14" s="3" t="s">
        <v>16</v>
      </c>
    </row>
    <row r="15" customFormat="false" ht="15" hidden="false" customHeight="false" outlineLevel="0" collapsed="false">
      <c r="B15" s="9" t="s">
        <v>17</v>
      </c>
      <c r="C15" s="9" t="s">
        <v>18</v>
      </c>
      <c r="D15" s="9" t="s">
        <v>10</v>
      </c>
      <c r="E15" s="9" t="s">
        <v>19</v>
      </c>
      <c r="F15" s="9" t="s">
        <v>15</v>
      </c>
    </row>
    <row r="16" customFormat="false" ht="15" hidden="false" customHeight="false" outlineLevel="0" collapsed="false">
      <c r="B16" s="10" t="s">
        <v>20</v>
      </c>
      <c r="C16" s="10" t="n">
        <f aca="false">COUNTIF(Backlog!B:B,B16)</f>
        <v>3</v>
      </c>
      <c r="D16" s="10" t="n">
        <f aca="false">COUNTIFS(Backlog!B:B,B16,Backlog!G:G,"Fait")</f>
        <v>0</v>
      </c>
      <c r="E16" s="10" t="n">
        <f aca="false">C16-D16</f>
        <v>3</v>
      </c>
      <c r="F16" s="11" t="n">
        <f aca="false">IF(C16=0,0,D16/C16)</f>
        <v>0</v>
      </c>
    </row>
    <row r="17" customFormat="false" ht="15" hidden="false" customHeight="false" outlineLevel="0" collapsed="false">
      <c r="B17" s="12" t="s">
        <v>21</v>
      </c>
      <c r="C17" s="12" t="n">
        <f aca="false">COUNTIF(Backlog!B:B,B17)</f>
        <v>3</v>
      </c>
      <c r="D17" s="12" t="n">
        <f aca="false">COUNTIFS(Backlog!B:B,B17,Backlog!G:G,"Fait")</f>
        <v>0</v>
      </c>
      <c r="E17" s="12" t="n">
        <f aca="false">C17-D17</f>
        <v>3</v>
      </c>
      <c r="F17" s="13" t="n">
        <f aca="false">IF(C17=0,0,D17/C17)</f>
        <v>0</v>
      </c>
    </row>
    <row r="18" customFormat="false" ht="15" hidden="false" customHeight="false" outlineLevel="0" collapsed="false">
      <c r="B18" s="10" t="s">
        <v>22</v>
      </c>
      <c r="C18" s="10" t="n">
        <f aca="false">COUNTIF(Backlog!B:B,B18)</f>
        <v>3</v>
      </c>
      <c r="D18" s="10" t="n">
        <f aca="false">COUNTIFS(Backlog!B:B,B18,Backlog!G:G,"Fait")</f>
        <v>0</v>
      </c>
      <c r="E18" s="10" t="n">
        <f aca="false">C18-D18</f>
        <v>3</v>
      </c>
      <c r="F18" s="11" t="n">
        <f aca="false">IF(C18=0,0,D18/C18)</f>
        <v>0</v>
      </c>
    </row>
    <row r="19" customFormat="false" ht="15" hidden="false" customHeight="false" outlineLevel="0" collapsed="false">
      <c r="B19" s="12" t="s">
        <v>23</v>
      </c>
      <c r="C19" s="12" t="n">
        <f aca="false">COUNTIF(Backlog!B:B,B19)</f>
        <v>1</v>
      </c>
      <c r="D19" s="12" t="n">
        <f aca="false">COUNTIFS(Backlog!B:B,B19,Backlog!G:G,"Fait")</f>
        <v>0</v>
      </c>
      <c r="E19" s="12" t="n">
        <f aca="false">C19-D19</f>
        <v>1</v>
      </c>
      <c r="F19" s="13" t="n">
        <f aca="false">IF(C19=0,0,D19/C19)</f>
        <v>0</v>
      </c>
    </row>
    <row r="20" customFormat="false" ht="15" hidden="false" customHeight="false" outlineLevel="0" collapsed="false">
      <c r="B20" s="10" t="s">
        <v>24</v>
      </c>
      <c r="C20" s="10" t="n">
        <f aca="false">COUNTIF(Backlog!B:B,B20)</f>
        <v>5</v>
      </c>
      <c r="D20" s="10" t="n">
        <f aca="false">COUNTIFS(Backlog!B:B,B20,Backlog!G:G,"Fait")</f>
        <v>0</v>
      </c>
      <c r="E20" s="10" t="n">
        <f aca="false">C20-D20</f>
        <v>5</v>
      </c>
      <c r="F20" s="11" t="n">
        <f aca="false">IF(C20=0,0,D20/C20)</f>
        <v>0</v>
      </c>
    </row>
    <row r="21" customFormat="false" ht="15" hidden="false" customHeight="false" outlineLevel="0" collapsed="false">
      <c r="B21" s="12" t="s">
        <v>25</v>
      </c>
      <c r="C21" s="12" t="n">
        <f aca="false">COUNTIF(Backlog!B:B,B21)</f>
        <v>3</v>
      </c>
      <c r="D21" s="12" t="n">
        <f aca="false">COUNTIFS(Backlog!B:B,B21,Backlog!G:G,"Fait")</f>
        <v>0</v>
      </c>
      <c r="E21" s="12" t="n">
        <f aca="false">C21-D21</f>
        <v>3</v>
      </c>
      <c r="F21" s="13" t="n">
        <f aca="false">IF(C21=0,0,D21/C21)</f>
        <v>0</v>
      </c>
    </row>
    <row r="22" customFormat="false" ht="15" hidden="false" customHeight="false" outlineLevel="0" collapsed="false">
      <c r="B22" s="10" t="s">
        <v>26</v>
      </c>
      <c r="C22" s="10" t="n">
        <f aca="false">COUNTIF(Backlog!B:B,B22)</f>
        <v>4</v>
      </c>
      <c r="D22" s="10" t="n">
        <f aca="false">COUNTIFS(Backlog!B:B,B22,Backlog!G:G,"Fait")</f>
        <v>0</v>
      </c>
      <c r="E22" s="10" t="n">
        <f aca="false">C22-D22</f>
        <v>4</v>
      </c>
      <c r="F22" s="11" t="n">
        <f aca="false">IF(C22=0,0,D22/C22)</f>
        <v>0</v>
      </c>
    </row>
    <row r="23" customFormat="false" ht="15" hidden="false" customHeight="false" outlineLevel="0" collapsed="false">
      <c r="B23" s="12" t="s">
        <v>27</v>
      </c>
      <c r="C23" s="12" t="n">
        <f aca="false">COUNTIF(Backlog!B:B,B23)</f>
        <v>4</v>
      </c>
      <c r="D23" s="12" t="n">
        <f aca="false">COUNTIFS(Backlog!B:B,B23,Backlog!G:G,"Fait")</f>
        <v>0</v>
      </c>
      <c r="E23" s="12" t="n">
        <f aca="false">C23-D23</f>
        <v>4</v>
      </c>
      <c r="F23" s="13" t="n">
        <f aca="false">IF(C23=0,0,D23/C23)</f>
        <v>0</v>
      </c>
    </row>
    <row r="24" customFormat="false" ht="15" hidden="false" customHeight="false" outlineLevel="0" collapsed="false">
      <c r="B24" s="10" t="s">
        <v>28</v>
      </c>
      <c r="C24" s="10" t="n">
        <f aca="false">COUNTIF(Backlog!B:B,B24)</f>
        <v>2</v>
      </c>
      <c r="D24" s="10" t="n">
        <f aca="false">COUNTIFS(Backlog!B:B,B24,Backlog!G:G,"Fait")</f>
        <v>0</v>
      </c>
      <c r="E24" s="10" t="n">
        <f aca="false">C24-D24</f>
        <v>2</v>
      </c>
      <c r="F24" s="11" t="n">
        <f aca="false">IF(C24=0,0,D24/C24)</f>
        <v>0</v>
      </c>
    </row>
    <row r="25" customFormat="false" ht="15" hidden="false" customHeight="false" outlineLevel="0" collapsed="false">
      <c r="B25" s="12" t="s">
        <v>29</v>
      </c>
      <c r="C25" s="12" t="n">
        <f aca="false">COUNTIF(Backlog!B:B,B25)</f>
        <v>6</v>
      </c>
      <c r="D25" s="12" t="n">
        <f aca="false">COUNTIFS(Backlog!B:B,B25,Backlog!G:G,"Fait")</f>
        <v>0</v>
      </c>
      <c r="E25" s="12" t="n">
        <f aca="false">C25-D25</f>
        <v>6</v>
      </c>
      <c r="F25" s="13" t="n">
        <f aca="false">IF(C25=0,0,D25/C25)</f>
        <v>0</v>
      </c>
    </row>
    <row r="26" customFormat="false" ht="15" hidden="false" customHeight="false" outlineLevel="0" collapsed="false">
      <c r="B26" s="10" t="s">
        <v>30</v>
      </c>
      <c r="C26" s="10" t="n">
        <f aca="false">COUNTIF(Backlog!B:B,B26)</f>
        <v>4</v>
      </c>
      <c r="D26" s="10" t="n">
        <f aca="false">COUNTIFS(Backlog!B:B,B26,Backlog!G:G,"Fait")</f>
        <v>0</v>
      </c>
      <c r="E26" s="10" t="n">
        <f aca="false">C26-D26</f>
        <v>4</v>
      </c>
      <c r="F26" s="11" t="n">
        <f aca="false">IF(C26=0,0,D26/C26)</f>
        <v>0</v>
      </c>
    </row>
    <row r="27" customFormat="false" ht="15" hidden="false" customHeight="false" outlineLevel="0" collapsed="false">
      <c r="B27" s="12" t="s">
        <v>31</v>
      </c>
      <c r="C27" s="12" t="n">
        <f aca="false">COUNTIF(Backlog!B:B,B27)</f>
        <v>2</v>
      </c>
      <c r="D27" s="12" t="n">
        <f aca="false">COUNTIFS(Backlog!B:B,B27,Backlog!G:G,"Fait")</f>
        <v>0</v>
      </c>
      <c r="E27" s="12" t="n">
        <f aca="false">C27-D27</f>
        <v>2</v>
      </c>
      <c r="F27" s="13" t="n">
        <f aca="false">IF(C27=0,0,D27/C27)</f>
        <v>0</v>
      </c>
    </row>
    <row r="28" customFormat="false" ht="15" hidden="false" customHeight="false" outlineLevel="0" collapsed="false">
      <c r="B28" s="10" t="s">
        <v>32</v>
      </c>
      <c r="C28" s="10" t="n">
        <f aca="false">COUNTIF(Backlog!B:B,B28)</f>
        <v>3</v>
      </c>
      <c r="D28" s="10" t="n">
        <f aca="false">COUNTIFS(Backlog!B:B,B28,Backlog!G:G,"Fait")</f>
        <v>0</v>
      </c>
      <c r="E28" s="10" t="n">
        <f aca="false">C28-D28</f>
        <v>3</v>
      </c>
      <c r="F28" s="11" t="n">
        <f aca="false">IF(C28=0,0,D28/C28)</f>
        <v>0</v>
      </c>
    </row>
    <row r="29" customFormat="false" ht="15" hidden="false" customHeight="false" outlineLevel="0" collapsed="false">
      <c r="B29" s="12" t="s">
        <v>33</v>
      </c>
      <c r="C29" s="12" t="n">
        <f aca="false">COUNTIF(Backlog!B:B,B29)</f>
        <v>4</v>
      </c>
      <c r="D29" s="12" t="n">
        <f aca="false">COUNTIFS(Backlog!B:B,B29,Backlog!G:G,"Fait")</f>
        <v>0</v>
      </c>
      <c r="E29" s="12" t="n">
        <f aca="false">C29-D29</f>
        <v>4</v>
      </c>
      <c r="F29" s="13" t="n">
        <f aca="false">IF(C29=0,0,D29/C29)</f>
        <v>0</v>
      </c>
    </row>
    <row r="30" customFormat="false" ht="15" hidden="false" customHeight="false" outlineLevel="0" collapsed="false">
      <c r="B30" s="10" t="s">
        <v>34</v>
      </c>
      <c r="C30" s="10" t="n">
        <f aca="false">COUNTIF(Backlog!B:B,B30)</f>
        <v>3</v>
      </c>
      <c r="D30" s="10" t="n">
        <f aca="false">COUNTIFS(Backlog!B:B,B30,Backlog!G:G,"Fait")</f>
        <v>0</v>
      </c>
      <c r="E30" s="10" t="n">
        <f aca="false">C30-D30</f>
        <v>3</v>
      </c>
      <c r="F30" s="11" t="n">
        <f aca="false">IF(C30=0,0,D30/C30)</f>
        <v>0</v>
      </c>
    </row>
    <row r="31" customFormat="false" ht="15" hidden="false" customHeight="false" outlineLevel="0" collapsed="false">
      <c r="B31" s="12" t="s">
        <v>35</v>
      </c>
      <c r="C31" s="12" t="n">
        <f aca="false">COUNTIF(Backlog!B:B,B31)</f>
        <v>2</v>
      </c>
      <c r="D31" s="12" t="n">
        <f aca="false">COUNTIFS(Backlog!B:B,B31,Backlog!G:G,"Fait")</f>
        <v>0</v>
      </c>
      <c r="E31" s="12" t="n">
        <f aca="false">C31-D31</f>
        <v>2</v>
      </c>
      <c r="F31" s="13" t="n">
        <f aca="false">IF(C31=0,0,D31/C31)</f>
        <v>0</v>
      </c>
    </row>
    <row r="32" customFormat="false" ht="15" hidden="false" customHeight="false" outlineLevel="0" collapsed="false">
      <c r="B32" s="10" t="s">
        <v>36</v>
      </c>
      <c r="C32" s="10" t="n">
        <f aca="false">COUNTIF(Backlog!B:B,B32)</f>
        <v>2</v>
      </c>
      <c r="D32" s="10" t="n">
        <f aca="false">COUNTIFS(Backlog!B:B,B32,Backlog!G:G,"Fait")</f>
        <v>0</v>
      </c>
      <c r="E32" s="10" t="n">
        <f aca="false">C32-D32</f>
        <v>2</v>
      </c>
      <c r="F32" s="11" t="n">
        <f aca="false">IF(C32=0,0,D32/C32)</f>
        <v>0</v>
      </c>
    </row>
    <row r="33" customFormat="false" ht="15" hidden="false" customHeight="false" outlineLevel="0" collapsed="false">
      <c r="B33" s="12" t="s">
        <v>37</v>
      </c>
      <c r="C33" s="12" t="n">
        <f aca="false">COUNTIF(Backlog!B:B,B33)</f>
        <v>3</v>
      </c>
      <c r="D33" s="12" t="n">
        <f aca="false">COUNTIFS(Backlog!B:B,B33,Backlog!G:G,"Fait")</f>
        <v>0</v>
      </c>
      <c r="E33" s="12" t="n">
        <f aca="false">C33-D33</f>
        <v>3</v>
      </c>
      <c r="F33" s="13" t="n">
        <f aca="false">IF(C33=0,0,D33/C33)</f>
        <v>0</v>
      </c>
    </row>
    <row r="34" customFormat="false" ht="15" hidden="false" customHeight="false" outlineLevel="0" collapsed="false">
      <c r="B34" s="10" t="s">
        <v>38</v>
      </c>
      <c r="C34" s="10" t="n">
        <f aca="false">COUNTIF(Backlog!B:B,B34)</f>
        <v>5</v>
      </c>
      <c r="D34" s="10" t="n">
        <f aca="false">COUNTIFS(Backlog!B:B,B34,Backlog!G:G,"Fait")</f>
        <v>0</v>
      </c>
      <c r="E34" s="10" t="n">
        <f aca="false">C34-D34</f>
        <v>5</v>
      </c>
      <c r="F34" s="11" t="n">
        <f aca="false">IF(C34=0,0,D34/C34)</f>
        <v>0</v>
      </c>
    </row>
    <row r="37" customFormat="false" ht="15" hidden="false" customHeight="false" outlineLevel="0" collapsed="false">
      <c r="B37" s="3" t="s">
        <v>39</v>
      </c>
    </row>
    <row r="38" customFormat="false" ht="15" hidden="false" customHeight="false" outlineLevel="0" collapsed="false">
      <c r="B38" s="14" t="s">
        <v>40</v>
      </c>
      <c r="C38" s="14" t="s">
        <v>18</v>
      </c>
      <c r="D38" s="14" t="s">
        <v>10</v>
      </c>
      <c r="E38" s="14" t="s">
        <v>19</v>
      </c>
    </row>
    <row r="39" customFormat="false" ht="15" hidden="false" customHeight="false" outlineLevel="0" collapsed="false">
      <c r="B39" s="15" t="s">
        <v>41</v>
      </c>
      <c r="C39" s="15" t="n">
        <f aca="false">COUNTIF(Backlog!F:F,B39)</f>
        <v>31</v>
      </c>
      <c r="D39" s="15" t="n">
        <f aca="false">COUNTIFS(Backlog!F:F,B39,Backlog!G:G,"Fait")</f>
        <v>0</v>
      </c>
      <c r="E39" s="15" t="n">
        <f aca="false">C39-D39</f>
        <v>31</v>
      </c>
    </row>
    <row r="40" customFormat="false" ht="15" hidden="false" customHeight="false" outlineLevel="0" collapsed="false">
      <c r="B40" s="16" t="s">
        <v>42</v>
      </c>
      <c r="C40" s="16" t="n">
        <f aca="false">COUNTIF(Backlog!F:F,B40)</f>
        <v>10</v>
      </c>
      <c r="D40" s="16" t="n">
        <f aca="false">COUNTIFS(Backlog!F:F,B40,Backlog!G:G,"Fait")</f>
        <v>0</v>
      </c>
      <c r="E40" s="16" t="n">
        <f aca="false">C40-D40</f>
        <v>10</v>
      </c>
    </row>
    <row r="41" customFormat="false" ht="15" hidden="false" customHeight="false" outlineLevel="0" collapsed="false">
      <c r="B41" s="15" t="s">
        <v>43</v>
      </c>
      <c r="C41" s="15" t="n">
        <f aca="false">COUNTIF(Backlog!F:F,B41)</f>
        <v>5</v>
      </c>
      <c r="D41" s="15" t="n">
        <f aca="false">COUNTIFS(Backlog!F:F,B41,Backlog!G:G,"Fait")</f>
        <v>0</v>
      </c>
      <c r="E41" s="15" t="n">
        <f aca="false">C41-D41</f>
        <v>5</v>
      </c>
    </row>
    <row r="42" customFormat="false" ht="15" hidden="false" customHeight="false" outlineLevel="0" collapsed="false">
      <c r="B42" s="16" t="s">
        <v>44</v>
      </c>
      <c r="C42" s="16" t="n">
        <f aca="false">COUNTIF(Backlog!F:F,B42)</f>
        <v>6</v>
      </c>
      <c r="D42" s="16" t="n">
        <f aca="false">COUNTIFS(Backlog!F:F,B42,Backlog!G:G,"Fait")</f>
        <v>0</v>
      </c>
      <c r="E42" s="16" t="n">
        <f aca="false">C42-D42</f>
        <v>6</v>
      </c>
    </row>
    <row r="43" customFormat="false" ht="15" hidden="false" customHeight="false" outlineLevel="0" collapsed="false">
      <c r="B43" s="15" t="s">
        <v>45</v>
      </c>
      <c r="C43" s="15" t="n">
        <f aca="false">COUNTIF(Backlog!F:F,B43)</f>
        <v>5</v>
      </c>
      <c r="D43" s="15" t="n">
        <f aca="false">COUNTIFS(Backlog!F:F,B43,Backlog!G:G,"Fait")</f>
        <v>0</v>
      </c>
      <c r="E43" s="15" t="n">
        <f aca="false">C43-D43</f>
        <v>5</v>
      </c>
    </row>
    <row r="44" customFormat="false" ht="15" hidden="false" customHeight="false" outlineLevel="0" collapsed="false">
      <c r="B44" s="16" t="s">
        <v>46</v>
      </c>
      <c r="C44" s="16" t="n">
        <f aca="false">COUNTIF(Backlog!F:F,B44)</f>
        <v>2</v>
      </c>
      <c r="D44" s="16" t="n">
        <f aca="false">COUNTIFS(Backlog!F:F,B44,Backlog!G:G,"Fait")</f>
        <v>0</v>
      </c>
      <c r="E44" s="16" t="n">
        <f aca="false">C44-D44</f>
        <v>2</v>
      </c>
    </row>
    <row r="45" customFormat="false" ht="15" hidden="false" customHeight="false" outlineLevel="0" collapsed="false">
      <c r="B45" s="15" t="s">
        <v>47</v>
      </c>
      <c r="C45" s="15" t="n">
        <f aca="false">COUNTIF(Backlog!F:F,B45)</f>
        <v>2</v>
      </c>
      <c r="D45" s="15" t="n">
        <f aca="false">COUNTIFS(Backlog!F:F,B45,Backlog!G:G,"Fait")</f>
        <v>0</v>
      </c>
      <c r="E45" s="15" t="n">
        <f aca="false">C45-D45</f>
        <v>2</v>
      </c>
    </row>
    <row r="46" customFormat="false" ht="15" hidden="false" customHeight="false" outlineLevel="0" collapsed="false">
      <c r="B46" s="16" t="s">
        <v>48</v>
      </c>
      <c r="C46" s="16" t="n">
        <f aca="false">COUNTIF(Backlog!F:F,B46)</f>
        <v>1</v>
      </c>
      <c r="D46" s="16" t="n">
        <f aca="false">COUNTIFS(Backlog!F:F,B46,Backlog!G:G,"Fait")</f>
        <v>0</v>
      </c>
      <c r="E46" s="16" t="n">
        <f aca="false">C46-D46</f>
        <v>1</v>
      </c>
    </row>
  </sheetData>
  <mergeCells count="2">
    <mergeCell ref="B2:F2"/>
    <mergeCell ref="B3:F3"/>
  </mergeCells>
  <printOptions headings="false" gridLines="false" gridLinesSet="true" horizontalCentered="false" verticalCentered="false"/>
  <pageMargins left="0.75" right="0.75" top="1" bottom="1" header="0.5" footer="0.5"/>
  <pageSetup paperSize="9" scale="100" fitToWidth="1" fitToHeight="1" pageOrder="downThenOver" orientation="landscape" blackAndWhite="false" draft="false" cellComments="none" horizontalDpi="300" verticalDpi="300" copies="1"/>
  <headerFooter differentFirst="false" differentOddEven="false">
    <oddHeader>&amp;LSentier — Suivi</oddHeader>
    <oddFooter>&amp;RPage &amp;P /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G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90"/>
    <col collapsed="false" customWidth="true" hidden="false" outlineLevel="0" max="7" min="3" style="0" width="14"/>
  </cols>
  <sheetData>
    <row r="2" customFormat="false" ht="22.05" hidden="false" customHeight="false" outlineLevel="0" collapsed="false">
      <c r="B2" s="1" t="s">
        <v>49</v>
      </c>
      <c r="C2" s="1"/>
      <c r="D2" s="1"/>
      <c r="E2" s="1"/>
      <c r="F2" s="1"/>
      <c r="G2" s="1"/>
    </row>
    <row r="3" customFormat="false" ht="36" hidden="false" customHeight="true" outlineLevel="0" collapsed="false">
      <c r="B3" s="17" t="s">
        <v>50</v>
      </c>
      <c r="C3" s="17"/>
      <c r="D3" s="17"/>
      <c r="E3" s="17"/>
      <c r="F3" s="17"/>
      <c r="G3" s="17"/>
    </row>
    <row r="5" customFormat="false" ht="15" hidden="false" customHeight="false" outlineLevel="0" collapsed="false">
      <c r="B5" s="18" t="s">
        <v>51</v>
      </c>
      <c r="C5" s="18"/>
      <c r="D5" s="18"/>
      <c r="E5" s="18"/>
      <c r="F5" s="18"/>
      <c r="G5" s="18"/>
    </row>
    <row r="6" customFormat="false" ht="15" hidden="false" customHeight="false" outlineLevel="0" collapsed="false">
      <c r="B6" s="19" t="s">
        <v>52</v>
      </c>
      <c r="C6" s="19"/>
      <c r="D6" s="19"/>
      <c r="E6" s="19"/>
      <c r="F6" s="19"/>
      <c r="G6" s="19"/>
    </row>
    <row r="7" customFormat="false" ht="15" hidden="false" customHeight="false" outlineLevel="0" collapsed="false">
      <c r="B7" s="19" t="s">
        <v>53</v>
      </c>
      <c r="C7" s="19"/>
      <c r="D7" s="19"/>
      <c r="E7" s="19"/>
      <c r="F7" s="19"/>
      <c r="G7" s="19"/>
    </row>
    <row r="8" customFormat="false" ht="15" hidden="false" customHeight="false" outlineLevel="0" collapsed="false">
      <c r="B8" s="19" t="s">
        <v>54</v>
      </c>
      <c r="C8" s="19"/>
      <c r="D8" s="19"/>
      <c r="E8" s="19"/>
      <c r="F8" s="19"/>
      <c r="G8" s="19"/>
    </row>
    <row r="9" customFormat="false" ht="15" hidden="false" customHeight="false" outlineLevel="0" collapsed="false">
      <c r="B9" s="19" t="s">
        <v>55</v>
      </c>
      <c r="C9" s="19"/>
      <c r="D9" s="19"/>
      <c r="E9" s="19"/>
      <c r="F9" s="19"/>
      <c r="G9" s="19"/>
    </row>
    <row r="10" customFormat="false" ht="15" hidden="false" customHeight="false" outlineLevel="0" collapsed="false">
      <c r="B10" s="19" t="s">
        <v>56</v>
      </c>
      <c r="C10" s="19"/>
      <c r="D10" s="19"/>
      <c r="E10" s="19"/>
      <c r="F10" s="19"/>
      <c r="G10" s="19"/>
    </row>
    <row r="12" customFormat="false" ht="15" hidden="false" customHeight="false" outlineLevel="0" collapsed="false">
      <c r="B12" s="18" t="s">
        <v>57</v>
      </c>
      <c r="C12" s="18"/>
      <c r="D12" s="18"/>
      <c r="E12" s="18"/>
      <c r="F12" s="18"/>
      <c r="G12" s="18"/>
    </row>
    <row r="13" customFormat="false" ht="15" hidden="false" customHeight="false" outlineLevel="0" collapsed="false">
      <c r="B13" s="19" t="s">
        <v>58</v>
      </c>
      <c r="C13" s="19"/>
      <c r="D13" s="19"/>
      <c r="E13" s="19"/>
      <c r="F13" s="19"/>
      <c r="G13" s="19"/>
    </row>
    <row r="14" customFormat="false" ht="15" hidden="false" customHeight="false" outlineLevel="0" collapsed="false">
      <c r="B14" s="19" t="s">
        <v>59</v>
      </c>
      <c r="C14" s="19"/>
      <c r="D14" s="19"/>
      <c r="E14" s="19"/>
      <c r="F14" s="19"/>
      <c r="G14" s="19"/>
    </row>
    <row r="15" customFormat="false" ht="15" hidden="false" customHeight="false" outlineLevel="0" collapsed="false">
      <c r="B15" s="19" t="s">
        <v>60</v>
      </c>
      <c r="C15" s="19"/>
      <c r="D15" s="19"/>
      <c r="E15" s="19"/>
      <c r="F15" s="19"/>
      <c r="G15" s="19"/>
    </row>
    <row r="16" customFormat="false" ht="15" hidden="false" customHeight="false" outlineLevel="0" collapsed="false">
      <c r="B16" s="19" t="s">
        <v>61</v>
      </c>
      <c r="C16" s="19"/>
      <c r="D16" s="19"/>
      <c r="E16" s="19"/>
      <c r="F16" s="19"/>
      <c r="G16" s="19"/>
    </row>
    <row r="18" customFormat="false" ht="15" hidden="false" customHeight="false" outlineLevel="0" collapsed="false">
      <c r="B18" s="18" t="s">
        <v>62</v>
      </c>
      <c r="C18" s="18"/>
      <c r="D18" s="18"/>
      <c r="E18" s="18"/>
      <c r="F18" s="18"/>
      <c r="G18" s="18"/>
    </row>
    <row r="19" customFormat="false" ht="15" hidden="false" customHeight="false" outlineLevel="0" collapsed="false">
      <c r="B19" s="19" t="s">
        <v>63</v>
      </c>
      <c r="C19" s="19"/>
      <c r="D19" s="19"/>
      <c r="E19" s="19"/>
      <c r="F19" s="19"/>
      <c r="G19" s="19"/>
    </row>
    <row r="20" customFormat="false" ht="15" hidden="false" customHeight="false" outlineLevel="0" collapsed="false">
      <c r="B20" s="19" t="s">
        <v>64</v>
      </c>
      <c r="C20" s="19"/>
      <c r="D20" s="19"/>
      <c r="E20" s="19"/>
      <c r="F20" s="19"/>
      <c r="G20" s="19"/>
    </row>
    <row r="21" customFormat="false" ht="15" hidden="false" customHeight="false" outlineLevel="0" collapsed="false">
      <c r="B21" s="19" t="s">
        <v>65</v>
      </c>
      <c r="C21" s="19"/>
      <c r="D21" s="19"/>
      <c r="E21" s="19"/>
      <c r="F21" s="19"/>
      <c r="G21" s="19"/>
    </row>
    <row r="23" customFormat="false" ht="15" hidden="false" customHeight="false" outlineLevel="0" collapsed="false">
      <c r="B23" s="18" t="s">
        <v>66</v>
      </c>
      <c r="C23" s="18"/>
      <c r="D23" s="18"/>
      <c r="E23" s="18"/>
      <c r="F23" s="18"/>
      <c r="G23" s="18"/>
    </row>
    <row r="24" customFormat="false" ht="15" hidden="false" customHeight="false" outlineLevel="0" collapsed="false">
      <c r="B24" s="19" t="s">
        <v>67</v>
      </c>
      <c r="C24" s="19"/>
      <c r="D24" s="19"/>
      <c r="E24" s="19"/>
      <c r="F24" s="19"/>
      <c r="G24" s="19"/>
    </row>
    <row r="25" customFormat="false" ht="15" hidden="false" customHeight="false" outlineLevel="0" collapsed="false">
      <c r="B25" s="19" t="s">
        <v>68</v>
      </c>
      <c r="C25" s="19"/>
      <c r="D25" s="19"/>
      <c r="E25" s="19"/>
      <c r="F25" s="19"/>
      <c r="G25" s="19"/>
    </row>
  </sheetData>
  <mergeCells count="20">
    <mergeCell ref="B2:G2"/>
    <mergeCell ref="B3:G3"/>
    <mergeCell ref="B5:G5"/>
    <mergeCell ref="B6:G6"/>
    <mergeCell ref="B7:G7"/>
    <mergeCell ref="B8:G8"/>
    <mergeCell ref="B9:G9"/>
    <mergeCell ref="B10:G10"/>
    <mergeCell ref="B12:G12"/>
    <mergeCell ref="B13:G13"/>
    <mergeCell ref="B14:G14"/>
    <mergeCell ref="B15:G15"/>
    <mergeCell ref="B16:G16"/>
    <mergeCell ref="B18:G18"/>
    <mergeCell ref="B19:G19"/>
    <mergeCell ref="B20:G20"/>
    <mergeCell ref="B21:G21"/>
    <mergeCell ref="B23:G23"/>
    <mergeCell ref="B24:G24"/>
    <mergeCell ref="B25:G25"/>
  </mergeCells>
  <printOptions headings="false" gridLines="false" gridLinesSet="true" horizontalCentered="false" verticalCentered="false"/>
  <pageMargins left="0.75" right="0.75" top="1" bottom="1" header="0.5" footer="0.5"/>
  <pageSetup paperSize="9" scale="100" fitToWidth="1" fitToHeight="1" pageOrder="downThenOver" orientation="landscape" blackAndWhite="false" draft="false" cellComments="none" horizontalDpi="300" verticalDpi="300" copies="1"/>
  <headerFooter differentFirst="false" differentOddEven="false">
    <oddHeader>&amp;LSentier — Backlog</oddHeader>
    <oddFooter>&amp;RPage &amp;P / &amp;N</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K6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8"/>
    <col collapsed="false" customWidth="true" hidden="false" outlineLevel="0" max="3" min="3" style="0" width="34"/>
    <col collapsed="false" customWidth="true" hidden="false" outlineLevel="0" max="4" min="4" style="0" width="78"/>
    <col collapsed="false" customWidth="true" hidden="false" outlineLevel="0" max="5" min="5" style="0" width="11"/>
    <col collapsed="false" customWidth="true" hidden="false" outlineLevel="0" max="6" min="6" style="0" width="14"/>
    <col collapsed="false" customWidth="true" hidden="false" outlineLevel="0" max="7" min="7" style="0" width="12"/>
    <col collapsed="false" customWidth="true" hidden="false" outlineLevel="0" max="8" min="8" style="0" width="28"/>
    <col collapsed="false" customWidth="true" hidden="false" outlineLevel="0" max="9" min="9" style="0" width="40"/>
    <col collapsed="false" customWidth="true" hidden="false" outlineLevel="0" max="10" min="10" style="0" width="16"/>
    <col collapsed="false" customWidth="true" hidden="false" outlineLevel="0" max="11" min="11" style="0" width="28"/>
  </cols>
  <sheetData>
    <row r="1" customFormat="false" ht="24" hidden="false" customHeight="true" outlineLevel="0" collapsed="false">
      <c r="A1" s="9" t="s">
        <v>69</v>
      </c>
      <c r="B1" s="9" t="s">
        <v>17</v>
      </c>
      <c r="C1" s="9" t="s">
        <v>70</v>
      </c>
      <c r="D1" s="9" t="s">
        <v>71</v>
      </c>
      <c r="E1" s="9" t="s">
        <v>72</v>
      </c>
      <c r="F1" s="9" t="s">
        <v>40</v>
      </c>
      <c r="G1" s="9" t="s">
        <v>73</v>
      </c>
      <c r="H1" s="9" t="s">
        <v>74</v>
      </c>
      <c r="I1" s="9" t="s">
        <v>75</v>
      </c>
      <c r="J1" s="9" t="s">
        <v>76</v>
      </c>
      <c r="K1" s="9" t="s">
        <v>77</v>
      </c>
    </row>
    <row r="2" customFormat="false" ht="78" hidden="false" customHeight="true" outlineLevel="0" collapsed="false">
      <c r="A2" s="20" t="s">
        <v>78</v>
      </c>
      <c r="B2" s="21" t="s">
        <v>22</v>
      </c>
      <c r="C2" s="21" t="s">
        <v>79</v>
      </c>
      <c r="D2" s="21" t="s">
        <v>80</v>
      </c>
      <c r="E2" s="21" t="s">
        <v>3</v>
      </c>
      <c r="F2" s="21" t="s">
        <v>41</v>
      </c>
      <c r="G2" s="21" t="s">
        <v>4</v>
      </c>
      <c r="H2" s="21" t="s">
        <v>81</v>
      </c>
      <c r="I2" s="21" t="s">
        <v>82</v>
      </c>
      <c r="J2" s="21"/>
      <c r="K2" s="21"/>
    </row>
    <row r="3" customFormat="false" ht="78" hidden="false" customHeight="true" outlineLevel="0" collapsed="false">
      <c r="A3" s="22" t="s">
        <v>83</v>
      </c>
      <c r="B3" s="23" t="s">
        <v>22</v>
      </c>
      <c r="C3" s="23" t="s">
        <v>84</v>
      </c>
      <c r="D3" s="23" t="s">
        <v>85</v>
      </c>
      <c r="E3" s="23" t="s">
        <v>5</v>
      </c>
      <c r="F3" s="23" t="s">
        <v>41</v>
      </c>
      <c r="G3" s="23" t="s">
        <v>4</v>
      </c>
      <c r="H3" s="23" t="s">
        <v>78</v>
      </c>
      <c r="I3" s="23" t="s">
        <v>86</v>
      </c>
      <c r="J3" s="23"/>
      <c r="K3" s="23"/>
    </row>
    <row r="4" customFormat="false" ht="78" hidden="false" customHeight="true" outlineLevel="0" collapsed="false">
      <c r="A4" s="22" t="s">
        <v>87</v>
      </c>
      <c r="B4" s="23" t="s">
        <v>22</v>
      </c>
      <c r="C4" s="23" t="s">
        <v>88</v>
      </c>
      <c r="D4" s="23" t="s">
        <v>89</v>
      </c>
      <c r="E4" s="23" t="s">
        <v>5</v>
      </c>
      <c r="F4" s="23" t="s">
        <v>41</v>
      </c>
      <c r="G4" s="23" t="s">
        <v>4</v>
      </c>
      <c r="H4" s="23" t="s">
        <v>78</v>
      </c>
      <c r="I4" s="23" t="s">
        <v>90</v>
      </c>
      <c r="J4" s="23"/>
      <c r="K4" s="23"/>
    </row>
    <row r="5" customFormat="false" ht="78" hidden="false" customHeight="true" outlineLevel="0" collapsed="false">
      <c r="A5" s="20" t="s">
        <v>91</v>
      </c>
      <c r="B5" s="21" t="s">
        <v>36</v>
      </c>
      <c r="C5" s="21" t="s">
        <v>92</v>
      </c>
      <c r="D5" s="21" t="s">
        <v>93</v>
      </c>
      <c r="E5" s="21" t="s">
        <v>3</v>
      </c>
      <c r="F5" s="21" t="s">
        <v>41</v>
      </c>
      <c r="G5" s="21" t="s">
        <v>4</v>
      </c>
      <c r="H5" s="21" t="s">
        <v>78</v>
      </c>
      <c r="I5" s="21" t="s">
        <v>94</v>
      </c>
      <c r="J5" s="21"/>
      <c r="K5" s="21"/>
    </row>
    <row r="6" customFormat="false" ht="78" hidden="false" customHeight="true" outlineLevel="0" collapsed="false">
      <c r="A6" s="20" t="s">
        <v>95</v>
      </c>
      <c r="B6" s="21" t="s">
        <v>36</v>
      </c>
      <c r="C6" s="21" t="s">
        <v>96</v>
      </c>
      <c r="D6" s="21" t="s">
        <v>97</v>
      </c>
      <c r="E6" s="21" t="s">
        <v>3</v>
      </c>
      <c r="F6" s="21" t="s">
        <v>41</v>
      </c>
      <c r="G6" s="21" t="s">
        <v>4</v>
      </c>
      <c r="H6" s="21" t="s">
        <v>91</v>
      </c>
      <c r="I6" s="21" t="s">
        <v>98</v>
      </c>
      <c r="J6" s="21"/>
      <c r="K6" s="21"/>
    </row>
    <row r="7" customFormat="false" ht="78" hidden="false" customHeight="true" outlineLevel="0" collapsed="false">
      <c r="A7" s="20" t="s">
        <v>99</v>
      </c>
      <c r="B7" s="21" t="s">
        <v>31</v>
      </c>
      <c r="C7" s="21" t="s">
        <v>100</v>
      </c>
      <c r="D7" s="21" t="s">
        <v>101</v>
      </c>
      <c r="E7" s="21" t="s">
        <v>3</v>
      </c>
      <c r="F7" s="21" t="s">
        <v>41</v>
      </c>
      <c r="G7" s="21" t="s">
        <v>4</v>
      </c>
      <c r="H7" s="21" t="s">
        <v>78</v>
      </c>
      <c r="I7" s="21" t="s">
        <v>102</v>
      </c>
      <c r="J7" s="21"/>
      <c r="K7" s="21"/>
    </row>
    <row r="8" customFormat="false" ht="78" hidden="false" customHeight="true" outlineLevel="0" collapsed="false">
      <c r="A8" s="20" t="s">
        <v>103</v>
      </c>
      <c r="B8" s="21" t="s">
        <v>31</v>
      </c>
      <c r="C8" s="21" t="s">
        <v>104</v>
      </c>
      <c r="D8" s="21" t="s">
        <v>105</v>
      </c>
      <c r="E8" s="21" t="s">
        <v>3</v>
      </c>
      <c r="F8" s="21" t="s">
        <v>42</v>
      </c>
      <c r="G8" s="21" t="s">
        <v>4</v>
      </c>
      <c r="H8" s="21" t="s">
        <v>99</v>
      </c>
      <c r="I8" s="21" t="s">
        <v>106</v>
      </c>
      <c r="J8" s="21"/>
      <c r="K8" s="21"/>
    </row>
    <row r="9" customFormat="false" ht="78" hidden="false" customHeight="true" outlineLevel="0" collapsed="false">
      <c r="A9" s="20" t="s">
        <v>107</v>
      </c>
      <c r="B9" s="21" t="s">
        <v>33</v>
      </c>
      <c r="C9" s="21" t="s">
        <v>108</v>
      </c>
      <c r="D9" s="21" t="s">
        <v>109</v>
      </c>
      <c r="E9" s="21" t="s">
        <v>3</v>
      </c>
      <c r="F9" s="21" t="s">
        <v>43</v>
      </c>
      <c r="G9" s="21" t="s">
        <v>4</v>
      </c>
      <c r="H9" s="21" t="s">
        <v>81</v>
      </c>
      <c r="I9" s="21" t="s">
        <v>110</v>
      </c>
      <c r="J9" s="21"/>
      <c r="K9" s="21"/>
    </row>
    <row r="10" customFormat="false" ht="78" hidden="false" customHeight="true" outlineLevel="0" collapsed="false">
      <c r="A10" s="20" t="s">
        <v>111</v>
      </c>
      <c r="B10" s="21" t="s">
        <v>33</v>
      </c>
      <c r="C10" s="21" t="s">
        <v>112</v>
      </c>
      <c r="D10" s="21" t="s">
        <v>113</v>
      </c>
      <c r="E10" s="21" t="s">
        <v>3</v>
      </c>
      <c r="F10" s="21" t="s">
        <v>43</v>
      </c>
      <c r="G10" s="21" t="s">
        <v>4</v>
      </c>
      <c r="H10" s="21" t="s">
        <v>107</v>
      </c>
      <c r="I10" s="21" t="s">
        <v>114</v>
      </c>
      <c r="J10" s="21"/>
      <c r="K10" s="21"/>
    </row>
    <row r="11" customFormat="false" ht="78" hidden="false" customHeight="true" outlineLevel="0" collapsed="false">
      <c r="A11" s="20" t="s">
        <v>115</v>
      </c>
      <c r="B11" s="21" t="s">
        <v>33</v>
      </c>
      <c r="C11" s="21" t="s">
        <v>116</v>
      </c>
      <c r="D11" s="21" t="s">
        <v>117</v>
      </c>
      <c r="E11" s="21" t="s">
        <v>3</v>
      </c>
      <c r="F11" s="21" t="s">
        <v>41</v>
      </c>
      <c r="G11" s="21" t="s">
        <v>4</v>
      </c>
      <c r="H11" s="21" t="s">
        <v>118</v>
      </c>
      <c r="I11" s="21" t="s">
        <v>119</v>
      </c>
      <c r="J11" s="21"/>
      <c r="K11" s="21"/>
    </row>
    <row r="12" customFormat="false" ht="78" hidden="false" customHeight="true" outlineLevel="0" collapsed="false">
      <c r="A12" s="24" t="s">
        <v>120</v>
      </c>
      <c r="B12" s="25" t="s">
        <v>33</v>
      </c>
      <c r="C12" s="25" t="s">
        <v>121</v>
      </c>
      <c r="D12" s="25" t="s">
        <v>122</v>
      </c>
      <c r="E12" s="25" t="s">
        <v>7</v>
      </c>
      <c r="F12" s="25" t="s">
        <v>44</v>
      </c>
      <c r="G12" s="25" t="s">
        <v>4</v>
      </c>
      <c r="H12" s="25" t="s">
        <v>111</v>
      </c>
      <c r="I12" s="25" t="s">
        <v>123</v>
      </c>
      <c r="J12" s="25"/>
      <c r="K12" s="25"/>
    </row>
    <row r="13" customFormat="false" ht="78" hidden="false" customHeight="true" outlineLevel="0" collapsed="false">
      <c r="A13" s="20" t="s">
        <v>124</v>
      </c>
      <c r="B13" s="21" t="s">
        <v>38</v>
      </c>
      <c r="C13" s="21" t="s">
        <v>125</v>
      </c>
      <c r="D13" s="21" t="s">
        <v>126</v>
      </c>
      <c r="E13" s="21" t="s">
        <v>3</v>
      </c>
      <c r="F13" s="21" t="s">
        <v>43</v>
      </c>
      <c r="G13" s="21" t="s">
        <v>4</v>
      </c>
      <c r="H13" s="21" t="s">
        <v>111</v>
      </c>
      <c r="I13" s="21" t="s">
        <v>127</v>
      </c>
      <c r="J13" s="21"/>
      <c r="K13" s="21"/>
    </row>
    <row r="14" customFormat="false" ht="78" hidden="false" customHeight="true" outlineLevel="0" collapsed="false">
      <c r="A14" s="20" t="s">
        <v>128</v>
      </c>
      <c r="B14" s="21" t="s">
        <v>38</v>
      </c>
      <c r="C14" s="21" t="s">
        <v>129</v>
      </c>
      <c r="D14" s="21" t="s">
        <v>130</v>
      </c>
      <c r="E14" s="21" t="s">
        <v>3</v>
      </c>
      <c r="F14" s="21" t="s">
        <v>43</v>
      </c>
      <c r="G14" s="21" t="s">
        <v>4</v>
      </c>
      <c r="H14" s="21" t="s">
        <v>111</v>
      </c>
      <c r="I14" s="21" t="s">
        <v>131</v>
      </c>
      <c r="J14" s="21"/>
      <c r="K14" s="21"/>
    </row>
    <row r="15" customFormat="false" ht="78" hidden="false" customHeight="true" outlineLevel="0" collapsed="false">
      <c r="A15" s="22" t="s">
        <v>132</v>
      </c>
      <c r="B15" s="23" t="s">
        <v>38</v>
      </c>
      <c r="C15" s="23" t="s">
        <v>133</v>
      </c>
      <c r="D15" s="23" t="s">
        <v>134</v>
      </c>
      <c r="E15" s="23" t="s">
        <v>5</v>
      </c>
      <c r="F15" s="23" t="s">
        <v>42</v>
      </c>
      <c r="G15" s="23" t="s">
        <v>4</v>
      </c>
      <c r="H15" s="23" t="s">
        <v>111</v>
      </c>
      <c r="I15" s="23" t="s">
        <v>135</v>
      </c>
      <c r="J15" s="23"/>
      <c r="K15" s="23"/>
    </row>
    <row r="16" customFormat="false" ht="78" hidden="false" customHeight="true" outlineLevel="0" collapsed="false">
      <c r="A16" s="22" t="s">
        <v>136</v>
      </c>
      <c r="B16" s="23" t="s">
        <v>38</v>
      </c>
      <c r="C16" s="23" t="s">
        <v>137</v>
      </c>
      <c r="D16" s="23" t="s">
        <v>138</v>
      </c>
      <c r="E16" s="23" t="s">
        <v>5</v>
      </c>
      <c r="F16" s="23" t="s">
        <v>42</v>
      </c>
      <c r="G16" s="23" t="s">
        <v>4</v>
      </c>
      <c r="H16" s="23" t="s">
        <v>111</v>
      </c>
      <c r="I16" s="23" t="s">
        <v>139</v>
      </c>
      <c r="J16" s="23"/>
      <c r="K16" s="23"/>
    </row>
    <row r="17" customFormat="false" ht="78" hidden="false" customHeight="true" outlineLevel="0" collapsed="false">
      <c r="A17" s="20" t="s">
        <v>140</v>
      </c>
      <c r="B17" s="21" t="s">
        <v>38</v>
      </c>
      <c r="C17" s="21" t="s">
        <v>141</v>
      </c>
      <c r="D17" s="21" t="s">
        <v>142</v>
      </c>
      <c r="E17" s="21" t="s">
        <v>3</v>
      </c>
      <c r="F17" s="21" t="s">
        <v>42</v>
      </c>
      <c r="G17" s="21" t="s">
        <v>4</v>
      </c>
      <c r="H17" s="21" t="s">
        <v>143</v>
      </c>
      <c r="I17" s="21" t="s">
        <v>144</v>
      </c>
      <c r="J17" s="21"/>
      <c r="K17" s="21"/>
    </row>
    <row r="18" customFormat="false" ht="78" hidden="false" customHeight="true" outlineLevel="0" collapsed="false">
      <c r="A18" s="20" t="s">
        <v>145</v>
      </c>
      <c r="B18" s="21" t="s">
        <v>29</v>
      </c>
      <c r="C18" s="21" t="s">
        <v>146</v>
      </c>
      <c r="D18" s="21" t="s">
        <v>147</v>
      </c>
      <c r="E18" s="21" t="s">
        <v>3</v>
      </c>
      <c r="F18" s="21" t="s">
        <v>43</v>
      </c>
      <c r="G18" s="21" t="s">
        <v>4</v>
      </c>
      <c r="H18" s="21" t="s">
        <v>111</v>
      </c>
      <c r="I18" s="21" t="s">
        <v>148</v>
      </c>
      <c r="J18" s="21"/>
      <c r="K18" s="21"/>
    </row>
    <row r="19" customFormat="false" ht="78" hidden="false" customHeight="true" outlineLevel="0" collapsed="false">
      <c r="A19" s="20" t="s">
        <v>149</v>
      </c>
      <c r="B19" s="21" t="s">
        <v>29</v>
      </c>
      <c r="C19" s="21" t="s">
        <v>150</v>
      </c>
      <c r="D19" s="21" t="s">
        <v>151</v>
      </c>
      <c r="E19" s="21" t="s">
        <v>3</v>
      </c>
      <c r="F19" s="21" t="s">
        <v>41</v>
      </c>
      <c r="G19" s="21" t="s">
        <v>4</v>
      </c>
      <c r="H19" s="21" t="s">
        <v>152</v>
      </c>
      <c r="I19" s="21" t="s">
        <v>153</v>
      </c>
      <c r="J19" s="21"/>
      <c r="K19" s="21"/>
    </row>
    <row r="20" customFormat="false" ht="78" hidden="false" customHeight="true" outlineLevel="0" collapsed="false">
      <c r="A20" s="20" t="s">
        <v>154</v>
      </c>
      <c r="B20" s="21" t="s">
        <v>29</v>
      </c>
      <c r="C20" s="21" t="s">
        <v>155</v>
      </c>
      <c r="D20" s="21" t="s">
        <v>156</v>
      </c>
      <c r="E20" s="21" t="s">
        <v>3</v>
      </c>
      <c r="F20" s="21" t="s">
        <v>41</v>
      </c>
      <c r="G20" s="21" t="s">
        <v>4</v>
      </c>
      <c r="H20" s="21" t="s">
        <v>157</v>
      </c>
      <c r="I20" s="21" t="s">
        <v>158</v>
      </c>
      <c r="J20" s="21"/>
      <c r="K20" s="21"/>
    </row>
    <row r="21" customFormat="false" ht="78" hidden="false" customHeight="true" outlineLevel="0" collapsed="false">
      <c r="A21" s="22" t="s">
        <v>159</v>
      </c>
      <c r="B21" s="23" t="s">
        <v>29</v>
      </c>
      <c r="C21" s="23" t="s">
        <v>160</v>
      </c>
      <c r="D21" s="23" t="s">
        <v>161</v>
      </c>
      <c r="E21" s="23" t="s">
        <v>5</v>
      </c>
      <c r="F21" s="23" t="s">
        <v>41</v>
      </c>
      <c r="G21" s="23" t="s">
        <v>4</v>
      </c>
      <c r="H21" s="23" t="s">
        <v>162</v>
      </c>
      <c r="I21" s="23" t="s">
        <v>163</v>
      </c>
      <c r="J21" s="23"/>
      <c r="K21" s="23"/>
    </row>
    <row r="22" customFormat="false" ht="78" hidden="false" customHeight="true" outlineLevel="0" collapsed="false">
      <c r="A22" s="20" t="s">
        <v>164</v>
      </c>
      <c r="B22" s="21" t="s">
        <v>29</v>
      </c>
      <c r="C22" s="21" t="s">
        <v>165</v>
      </c>
      <c r="D22" s="21" t="s">
        <v>166</v>
      </c>
      <c r="E22" s="21" t="s">
        <v>3</v>
      </c>
      <c r="F22" s="21" t="s">
        <v>41</v>
      </c>
      <c r="G22" s="21" t="s">
        <v>4</v>
      </c>
      <c r="H22" s="21" t="s">
        <v>149</v>
      </c>
      <c r="I22" s="21" t="s">
        <v>167</v>
      </c>
      <c r="J22" s="21"/>
      <c r="K22" s="21"/>
    </row>
    <row r="23" customFormat="false" ht="78" hidden="false" customHeight="true" outlineLevel="0" collapsed="false">
      <c r="A23" s="22" t="s">
        <v>168</v>
      </c>
      <c r="B23" s="23" t="s">
        <v>29</v>
      </c>
      <c r="C23" s="23" t="s">
        <v>169</v>
      </c>
      <c r="D23" s="23" t="s">
        <v>170</v>
      </c>
      <c r="E23" s="23" t="s">
        <v>5</v>
      </c>
      <c r="F23" s="23" t="s">
        <v>45</v>
      </c>
      <c r="G23" s="23" t="s">
        <v>4</v>
      </c>
      <c r="H23" s="23" t="s">
        <v>171</v>
      </c>
      <c r="I23" s="23" t="s">
        <v>172</v>
      </c>
      <c r="J23" s="23"/>
      <c r="K23" s="23"/>
    </row>
    <row r="24" customFormat="false" ht="78" hidden="false" customHeight="true" outlineLevel="0" collapsed="false">
      <c r="A24" s="22" t="s">
        <v>173</v>
      </c>
      <c r="B24" s="23" t="s">
        <v>26</v>
      </c>
      <c r="C24" s="23" t="s">
        <v>174</v>
      </c>
      <c r="D24" s="23" t="s">
        <v>175</v>
      </c>
      <c r="E24" s="23" t="s">
        <v>5</v>
      </c>
      <c r="F24" s="23" t="s">
        <v>45</v>
      </c>
      <c r="G24" s="23" t="s">
        <v>4</v>
      </c>
      <c r="H24" s="23" t="s">
        <v>145</v>
      </c>
      <c r="I24" s="23" t="s">
        <v>176</v>
      </c>
      <c r="J24" s="23"/>
      <c r="K24" s="23"/>
    </row>
    <row r="25" customFormat="false" ht="78" hidden="false" customHeight="true" outlineLevel="0" collapsed="false">
      <c r="A25" s="22" t="s">
        <v>177</v>
      </c>
      <c r="B25" s="23" t="s">
        <v>26</v>
      </c>
      <c r="C25" s="23" t="s">
        <v>178</v>
      </c>
      <c r="D25" s="23" t="s">
        <v>179</v>
      </c>
      <c r="E25" s="23" t="s">
        <v>5</v>
      </c>
      <c r="F25" s="23" t="s">
        <v>45</v>
      </c>
      <c r="G25" s="23" t="s">
        <v>4</v>
      </c>
      <c r="H25" s="23" t="s">
        <v>173</v>
      </c>
      <c r="I25" s="23" t="s">
        <v>180</v>
      </c>
      <c r="J25" s="23"/>
      <c r="K25" s="23"/>
    </row>
    <row r="26" customFormat="false" ht="78" hidden="false" customHeight="true" outlineLevel="0" collapsed="false">
      <c r="A26" s="22" t="s">
        <v>181</v>
      </c>
      <c r="B26" s="23" t="s">
        <v>26</v>
      </c>
      <c r="C26" s="23" t="s">
        <v>182</v>
      </c>
      <c r="D26" s="23" t="s">
        <v>183</v>
      </c>
      <c r="E26" s="23" t="s">
        <v>5</v>
      </c>
      <c r="F26" s="23" t="s">
        <v>45</v>
      </c>
      <c r="G26" s="23" t="s">
        <v>4</v>
      </c>
      <c r="H26" s="23" t="s">
        <v>184</v>
      </c>
      <c r="I26" s="23" t="s">
        <v>185</v>
      </c>
      <c r="J26" s="23"/>
      <c r="K26" s="23"/>
    </row>
    <row r="27" customFormat="false" ht="78" hidden="false" customHeight="true" outlineLevel="0" collapsed="false">
      <c r="A27" s="24" t="s">
        <v>186</v>
      </c>
      <c r="B27" s="25" t="s">
        <v>26</v>
      </c>
      <c r="C27" s="25" t="s">
        <v>187</v>
      </c>
      <c r="D27" s="25" t="s">
        <v>188</v>
      </c>
      <c r="E27" s="25" t="s">
        <v>7</v>
      </c>
      <c r="F27" s="25" t="s">
        <v>45</v>
      </c>
      <c r="G27" s="25" t="s">
        <v>4</v>
      </c>
      <c r="H27" s="25" t="s">
        <v>173</v>
      </c>
      <c r="I27" s="25" t="s">
        <v>189</v>
      </c>
      <c r="J27" s="25"/>
      <c r="K27" s="25"/>
    </row>
    <row r="28" customFormat="false" ht="78" hidden="false" customHeight="true" outlineLevel="0" collapsed="false">
      <c r="A28" s="20" t="s">
        <v>190</v>
      </c>
      <c r="B28" s="21" t="s">
        <v>27</v>
      </c>
      <c r="C28" s="21" t="s">
        <v>191</v>
      </c>
      <c r="D28" s="21" t="s">
        <v>192</v>
      </c>
      <c r="E28" s="21" t="s">
        <v>3</v>
      </c>
      <c r="F28" s="21" t="s">
        <v>41</v>
      </c>
      <c r="G28" s="21" t="s">
        <v>4</v>
      </c>
      <c r="H28" s="21" t="s">
        <v>193</v>
      </c>
      <c r="I28" s="21" t="s">
        <v>194</v>
      </c>
      <c r="J28" s="21"/>
      <c r="K28" s="21"/>
    </row>
    <row r="29" customFormat="false" ht="78" hidden="false" customHeight="true" outlineLevel="0" collapsed="false">
      <c r="A29" s="20" t="s">
        <v>195</v>
      </c>
      <c r="B29" s="21" t="s">
        <v>27</v>
      </c>
      <c r="C29" s="21" t="s">
        <v>196</v>
      </c>
      <c r="D29" s="21" t="s">
        <v>197</v>
      </c>
      <c r="E29" s="21" t="s">
        <v>3</v>
      </c>
      <c r="F29" s="21" t="s">
        <v>41</v>
      </c>
      <c r="G29" s="21" t="s">
        <v>4</v>
      </c>
      <c r="H29" s="21" t="s">
        <v>190</v>
      </c>
      <c r="I29" s="21" t="s">
        <v>198</v>
      </c>
      <c r="J29" s="21"/>
      <c r="K29" s="21"/>
    </row>
    <row r="30" customFormat="false" ht="78" hidden="false" customHeight="true" outlineLevel="0" collapsed="false">
      <c r="A30" s="22" t="s">
        <v>199</v>
      </c>
      <c r="B30" s="23" t="s">
        <v>27</v>
      </c>
      <c r="C30" s="23" t="s">
        <v>200</v>
      </c>
      <c r="D30" s="23" t="s">
        <v>201</v>
      </c>
      <c r="E30" s="23" t="s">
        <v>5</v>
      </c>
      <c r="F30" s="23" t="s">
        <v>41</v>
      </c>
      <c r="G30" s="23" t="s">
        <v>4</v>
      </c>
      <c r="H30" s="23" t="s">
        <v>190</v>
      </c>
      <c r="I30" s="23" t="s">
        <v>202</v>
      </c>
      <c r="J30" s="23"/>
      <c r="K30" s="23"/>
    </row>
    <row r="31" customFormat="false" ht="78" hidden="false" customHeight="true" outlineLevel="0" collapsed="false">
      <c r="A31" s="20" t="s">
        <v>203</v>
      </c>
      <c r="B31" s="21" t="s">
        <v>27</v>
      </c>
      <c r="C31" s="21" t="s">
        <v>204</v>
      </c>
      <c r="D31" s="21" t="s">
        <v>205</v>
      </c>
      <c r="E31" s="21" t="s">
        <v>3</v>
      </c>
      <c r="F31" s="21" t="s">
        <v>41</v>
      </c>
      <c r="G31" s="21" t="s">
        <v>4</v>
      </c>
      <c r="H31" s="21" t="s">
        <v>206</v>
      </c>
      <c r="I31" s="21" t="s">
        <v>207</v>
      </c>
      <c r="J31" s="21"/>
      <c r="K31" s="21"/>
    </row>
    <row r="32" customFormat="false" ht="78" hidden="false" customHeight="true" outlineLevel="0" collapsed="false">
      <c r="A32" s="20" t="s">
        <v>208</v>
      </c>
      <c r="B32" s="21" t="s">
        <v>25</v>
      </c>
      <c r="C32" s="21" t="s">
        <v>209</v>
      </c>
      <c r="D32" s="21" t="s">
        <v>210</v>
      </c>
      <c r="E32" s="21" t="s">
        <v>3</v>
      </c>
      <c r="F32" s="21" t="s">
        <v>41</v>
      </c>
      <c r="G32" s="21" t="s">
        <v>4</v>
      </c>
      <c r="H32" s="21" t="s">
        <v>211</v>
      </c>
      <c r="I32" s="21" t="s">
        <v>212</v>
      </c>
      <c r="J32" s="21"/>
      <c r="K32" s="21"/>
    </row>
    <row r="33" customFormat="false" ht="78" hidden="false" customHeight="true" outlineLevel="0" collapsed="false">
      <c r="A33" s="22" t="s">
        <v>213</v>
      </c>
      <c r="B33" s="23" t="s">
        <v>25</v>
      </c>
      <c r="C33" s="23" t="s">
        <v>214</v>
      </c>
      <c r="D33" s="23" t="s">
        <v>215</v>
      </c>
      <c r="E33" s="23" t="s">
        <v>5</v>
      </c>
      <c r="F33" s="23" t="s">
        <v>41</v>
      </c>
      <c r="G33" s="23" t="s">
        <v>4</v>
      </c>
      <c r="H33" s="23" t="s">
        <v>208</v>
      </c>
      <c r="I33" s="23" t="s">
        <v>216</v>
      </c>
      <c r="J33" s="23"/>
      <c r="K33" s="23"/>
    </row>
    <row r="34" customFormat="false" ht="78" hidden="false" customHeight="true" outlineLevel="0" collapsed="false">
      <c r="A34" s="22" t="s">
        <v>217</v>
      </c>
      <c r="B34" s="23" t="s">
        <v>25</v>
      </c>
      <c r="C34" s="23" t="s">
        <v>218</v>
      </c>
      <c r="D34" s="23" t="s">
        <v>219</v>
      </c>
      <c r="E34" s="23" t="s">
        <v>5</v>
      </c>
      <c r="F34" s="23" t="s">
        <v>41</v>
      </c>
      <c r="G34" s="23" t="s">
        <v>4</v>
      </c>
      <c r="H34" s="23" t="s">
        <v>208</v>
      </c>
      <c r="I34" s="23" t="s">
        <v>220</v>
      </c>
      <c r="J34" s="23"/>
      <c r="K34" s="23"/>
    </row>
    <row r="35" customFormat="false" ht="78" hidden="false" customHeight="true" outlineLevel="0" collapsed="false">
      <c r="A35" s="22" t="s">
        <v>221</v>
      </c>
      <c r="B35" s="23" t="s">
        <v>34</v>
      </c>
      <c r="C35" s="23" t="s">
        <v>222</v>
      </c>
      <c r="D35" s="23" t="s">
        <v>223</v>
      </c>
      <c r="E35" s="23" t="s">
        <v>5</v>
      </c>
      <c r="F35" s="23" t="s">
        <v>44</v>
      </c>
      <c r="G35" s="23" t="s">
        <v>4</v>
      </c>
      <c r="H35" s="23" t="s">
        <v>208</v>
      </c>
      <c r="I35" s="23" t="s">
        <v>224</v>
      </c>
      <c r="J35" s="23"/>
      <c r="K35" s="23"/>
    </row>
    <row r="36" customFormat="false" ht="78" hidden="false" customHeight="true" outlineLevel="0" collapsed="false">
      <c r="A36" s="20" t="s">
        <v>225</v>
      </c>
      <c r="B36" s="21" t="s">
        <v>34</v>
      </c>
      <c r="C36" s="21" t="s">
        <v>226</v>
      </c>
      <c r="D36" s="21" t="s">
        <v>227</v>
      </c>
      <c r="E36" s="21" t="s">
        <v>3</v>
      </c>
      <c r="F36" s="21" t="s">
        <v>41</v>
      </c>
      <c r="G36" s="21" t="s">
        <v>4</v>
      </c>
      <c r="H36" s="21" t="s">
        <v>152</v>
      </c>
      <c r="I36" s="21" t="s">
        <v>228</v>
      </c>
      <c r="J36" s="21"/>
      <c r="K36" s="21"/>
    </row>
    <row r="37" customFormat="false" ht="78" hidden="false" customHeight="true" outlineLevel="0" collapsed="false">
      <c r="A37" s="20" t="s">
        <v>229</v>
      </c>
      <c r="B37" s="21" t="s">
        <v>34</v>
      </c>
      <c r="C37" s="21" t="s">
        <v>230</v>
      </c>
      <c r="D37" s="21" t="s">
        <v>231</v>
      </c>
      <c r="E37" s="21" t="s">
        <v>3</v>
      </c>
      <c r="F37" s="21" t="s">
        <v>41</v>
      </c>
      <c r="G37" s="21" t="s">
        <v>4</v>
      </c>
      <c r="H37" s="21" t="s">
        <v>225</v>
      </c>
      <c r="I37" s="21" t="s">
        <v>232</v>
      </c>
      <c r="J37" s="21"/>
      <c r="K37" s="21"/>
    </row>
    <row r="38" customFormat="false" ht="78" hidden="false" customHeight="true" outlineLevel="0" collapsed="false">
      <c r="A38" s="22" t="s">
        <v>233</v>
      </c>
      <c r="B38" s="23" t="s">
        <v>32</v>
      </c>
      <c r="C38" s="23" t="s">
        <v>234</v>
      </c>
      <c r="D38" s="23" t="s">
        <v>235</v>
      </c>
      <c r="E38" s="23" t="s">
        <v>5</v>
      </c>
      <c r="F38" s="23" t="s">
        <v>44</v>
      </c>
      <c r="G38" s="23" t="s">
        <v>4</v>
      </c>
      <c r="H38" s="23" t="s">
        <v>236</v>
      </c>
      <c r="I38" s="23" t="s">
        <v>237</v>
      </c>
      <c r="J38" s="23"/>
      <c r="K38" s="23"/>
    </row>
    <row r="39" customFormat="false" ht="78" hidden="false" customHeight="true" outlineLevel="0" collapsed="false">
      <c r="A39" s="22" t="s">
        <v>238</v>
      </c>
      <c r="B39" s="23" t="s">
        <v>32</v>
      </c>
      <c r="C39" s="23" t="s">
        <v>239</v>
      </c>
      <c r="D39" s="23" t="s">
        <v>240</v>
      </c>
      <c r="E39" s="23" t="s">
        <v>5</v>
      </c>
      <c r="F39" s="23" t="s">
        <v>44</v>
      </c>
      <c r="G39" s="23" t="s">
        <v>4</v>
      </c>
      <c r="H39" s="23" t="s">
        <v>241</v>
      </c>
      <c r="I39" s="23" t="s">
        <v>242</v>
      </c>
      <c r="J39" s="23"/>
      <c r="K39" s="23"/>
    </row>
    <row r="40" customFormat="false" ht="78" hidden="false" customHeight="true" outlineLevel="0" collapsed="false">
      <c r="A40" s="22" t="s">
        <v>243</v>
      </c>
      <c r="B40" s="23" t="s">
        <v>32</v>
      </c>
      <c r="C40" s="23" t="s">
        <v>244</v>
      </c>
      <c r="D40" s="23" t="s">
        <v>245</v>
      </c>
      <c r="E40" s="23" t="s">
        <v>5</v>
      </c>
      <c r="F40" s="23" t="s">
        <v>44</v>
      </c>
      <c r="G40" s="23" t="s">
        <v>4</v>
      </c>
      <c r="H40" s="23" t="s">
        <v>246</v>
      </c>
      <c r="I40" s="23" t="s">
        <v>247</v>
      </c>
      <c r="J40" s="23"/>
      <c r="K40" s="23"/>
    </row>
    <row r="41" customFormat="false" ht="78" hidden="false" customHeight="true" outlineLevel="0" collapsed="false">
      <c r="A41" s="22" t="s">
        <v>248</v>
      </c>
      <c r="B41" s="23" t="s">
        <v>24</v>
      </c>
      <c r="C41" s="23" t="s">
        <v>249</v>
      </c>
      <c r="D41" s="23" t="s">
        <v>250</v>
      </c>
      <c r="E41" s="23" t="s">
        <v>5</v>
      </c>
      <c r="F41" s="23" t="s">
        <v>41</v>
      </c>
      <c r="G41" s="23" t="s">
        <v>4</v>
      </c>
      <c r="H41" s="23" t="s">
        <v>251</v>
      </c>
      <c r="I41" s="23" t="s">
        <v>252</v>
      </c>
      <c r="J41" s="23"/>
      <c r="K41" s="23"/>
    </row>
    <row r="42" customFormat="false" ht="78" hidden="false" customHeight="true" outlineLevel="0" collapsed="false">
      <c r="A42" s="22" t="s">
        <v>253</v>
      </c>
      <c r="B42" s="23" t="s">
        <v>24</v>
      </c>
      <c r="C42" s="23" t="s">
        <v>254</v>
      </c>
      <c r="D42" s="23" t="s">
        <v>255</v>
      </c>
      <c r="E42" s="23" t="s">
        <v>5</v>
      </c>
      <c r="F42" s="23" t="s">
        <v>41</v>
      </c>
      <c r="G42" s="23" t="s">
        <v>4</v>
      </c>
      <c r="H42" s="23" t="s">
        <v>248</v>
      </c>
      <c r="I42" s="23" t="s">
        <v>256</v>
      </c>
      <c r="J42" s="23"/>
      <c r="K42" s="23"/>
    </row>
    <row r="43" customFormat="false" ht="78" hidden="false" customHeight="true" outlineLevel="0" collapsed="false">
      <c r="A43" s="20" t="s">
        <v>257</v>
      </c>
      <c r="B43" s="21" t="s">
        <v>24</v>
      </c>
      <c r="C43" s="21" t="s">
        <v>258</v>
      </c>
      <c r="D43" s="21" t="s">
        <v>259</v>
      </c>
      <c r="E43" s="21" t="s">
        <v>3</v>
      </c>
      <c r="F43" s="21" t="s">
        <v>41</v>
      </c>
      <c r="G43" s="21" t="s">
        <v>4</v>
      </c>
      <c r="H43" s="21" t="s">
        <v>260</v>
      </c>
      <c r="I43" s="21" t="s">
        <v>261</v>
      </c>
      <c r="J43" s="21"/>
      <c r="K43" s="21"/>
    </row>
    <row r="44" customFormat="false" ht="78" hidden="false" customHeight="true" outlineLevel="0" collapsed="false">
      <c r="A44" s="22" t="s">
        <v>262</v>
      </c>
      <c r="B44" s="23" t="s">
        <v>24</v>
      </c>
      <c r="C44" s="23" t="s">
        <v>263</v>
      </c>
      <c r="D44" s="23" t="s">
        <v>264</v>
      </c>
      <c r="E44" s="23" t="s">
        <v>5</v>
      </c>
      <c r="F44" s="23" t="s">
        <v>41</v>
      </c>
      <c r="G44" s="23" t="s">
        <v>4</v>
      </c>
      <c r="H44" s="23" t="s">
        <v>253</v>
      </c>
      <c r="I44" s="23" t="s">
        <v>265</v>
      </c>
      <c r="J44" s="23"/>
      <c r="K44" s="23"/>
    </row>
    <row r="45" customFormat="false" ht="78" hidden="false" customHeight="true" outlineLevel="0" collapsed="false">
      <c r="A45" s="24" t="s">
        <v>266</v>
      </c>
      <c r="B45" s="25" t="s">
        <v>24</v>
      </c>
      <c r="C45" s="25" t="s">
        <v>267</v>
      </c>
      <c r="D45" s="25" t="s">
        <v>268</v>
      </c>
      <c r="E45" s="25" t="s">
        <v>7</v>
      </c>
      <c r="F45" s="25" t="s">
        <v>41</v>
      </c>
      <c r="G45" s="25" t="s">
        <v>4</v>
      </c>
      <c r="H45" s="25" t="s">
        <v>257</v>
      </c>
      <c r="I45" s="25" t="s">
        <v>269</v>
      </c>
      <c r="J45" s="25"/>
      <c r="K45" s="25"/>
    </row>
    <row r="46" customFormat="false" ht="78" hidden="false" customHeight="true" outlineLevel="0" collapsed="false">
      <c r="A46" s="24" t="s">
        <v>270</v>
      </c>
      <c r="B46" s="25" t="s">
        <v>28</v>
      </c>
      <c r="C46" s="25" t="s">
        <v>271</v>
      </c>
      <c r="D46" s="25" t="s">
        <v>272</v>
      </c>
      <c r="E46" s="25" t="s">
        <v>7</v>
      </c>
      <c r="F46" s="25" t="s">
        <v>46</v>
      </c>
      <c r="G46" s="25" t="s">
        <v>4</v>
      </c>
      <c r="H46" s="25" t="s">
        <v>273</v>
      </c>
      <c r="I46" s="25" t="s">
        <v>274</v>
      </c>
      <c r="J46" s="25"/>
      <c r="K46" s="25"/>
    </row>
    <row r="47" customFormat="false" ht="78" hidden="false" customHeight="true" outlineLevel="0" collapsed="false">
      <c r="A47" s="24" t="s">
        <v>275</v>
      </c>
      <c r="B47" s="25" t="s">
        <v>28</v>
      </c>
      <c r="C47" s="25" t="s">
        <v>276</v>
      </c>
      <c r="D47" s="25" t="s">
        <v>277</v>
      </c>
      <c r="E47" s="25" t="s">
        <v>7</v>
      </c>
      <c r="F47" s="25" t="s">
        <v>46</v>
      </c>
      <c r="G47" s="25" t="s">
        <v>4</v>
      </c>
      <c r="H47" s="25" t="s">
        <v>278</v>
      </c>
      <c r="I47" s="25" t="s">
        <v>279</v>
      </c>
      <c r="J47" s="25"/>
      <c r="K47" s="25"/>
    </row>
    <row r="48" customFormat="false" ht="78" hidden="false" customHeight="true" outlineLevel="0" collapsed="false">
      <c r="A48" s="20" t="s">
        <v>280</v>
      </c>
      <c r="B48" s="21" t="s">
        <v>30</v>
      </c>
      <c r="C48" s="21" t="s">
        <v>281</v>
      </c>
      <c r="D48" s="21" t="s">
        <v>282</v>
      </c>
      <c r="E48" s="21" t="s">
        <v>3</v>
      </c>
      <c r="F48" s="21" t="s">
        <v>42</v>
      </c>
      <c r="G48" s="21" t="s">
        <v>4</v>
      </c>
      <c r="H48" s="21" t="s">
        <v>283</v>
      </c>
      <c r="I48" s="21" t="s">
        <v>284</v>
      </c>
      <c r="J48" s="21"/>
      <c r="K48" s="21"/>
    </row>
    <row r="49" customFormat="false" ht="78" hidden="false" customHeight="true" outlineLevel="0" collapsed="false">
      <c r="A49" s="20" t="s">
        <v>285</v>
      </c>
      <c r="B49" s="21" t="s">
        <v>30</v>
      </c>
      <c r="C49" s="21" t="s">
        <v>286</v>
      </c>
      <c r="D49" s="21" t="s">
        <v>287</v>
      </c>
      <c r="E49" s="21" t="s">
        <v>3</v>
      </c>
      <c r="F49" s="21" t="s">
        <v>42</v>
      </c>
      <c r="G49" s="21" t="s">
        <v>4</v>
      </c>
      <c r="H49" s="21" t="s">
        <v>280</v>
      </c>
      <c r="I49" s="21" t="s">
        <v>288</v>
      </c>
      <c r="J49" s="21"/>
      <c r="K49" s="21"/>
    </row>
    <row r="50" customFormat="false" ht="78" hidden="false" customHeight="true" outlineLevel="0" collapsed="false">
      <c r="A50" s="20" t="s">
        <v>289</v>
      </c>
      <c r="B50" s="21" t="s">
        <v>30</v>
      </c>
      <c r="C50" s="21" t="s">
        <v>290</v>
      </c>
      <c r="D50" s="21" t="s">
        <v>291</v>
      </c>
      <c r="E50" s="21" t="s">
        <v>3</v>
      </c>
      <c r="F50" s="21" t="s">
        <v>42</v>
      </c>
      <c r="G50" s="21" t="s">
        <v>4</v>
      </c>
      <c r="H50" s="21" t="s">
        <v>292</v>
      </c>
      <c r="I50" s="21" t="s">
        <v>293</v>
      </c>
      <c r="J50" s="21"/>
      <c r="K50" s="21"/>
    </row>
    <row r="51" customFormat="false" ht="78" hidden="false" customHeight="true" outlineLevel="0" collapsed="false">
      <c r="A51" s="22" t="s">
        <v>294</v>
      </c>
      <c r="B51" s="23" t="s">
        <v>30</v>
      </c>
      <c r="C51" s="23" t="s">
        <v>295</v>
      </c>
      <c r="D51" s="23" t="s">
        <v>296</v>
      </c>
      <c r="E51" s="23" t="s">
        <v>5</v>
      </c>
      <c r="F51" s="23" t="s">
        <v>42</v>
      </c>
      <c r="G51" s="23" t="s">
        <v>4</v>
      </c>
      <c r="H51" s="23" t="s">
        <v>289</v>
      </c>
      <c r="I51" s="23" t="s">
        <v>297</v>
      </c>
      <c r="J51" s="23"/>
      <c r="K51" s="23"/>
    </row>
    <row r="52" customFormat="false" ht="78" hidden="false" customHeight="true" outlineLevel="0" collapsed="false">
      <c r="A52" s="20" t="s">
        <v>298</v>
      </c>
      <c r="B52" s="21" t="s">
        <v>21</v>
      </c>
      <c r="C52" s="21" t="s">
        <v>299</v>
      </c>
      <c r="D52" s="21" t="s">
        <v>300</v>
      </c>
      <c r="E52" s="21" t="s">
        <v>3</v>
      </c>
      <c r="F52" s="21" t="s">
        <v>42</v>
      </c>
      <c r="G52" s="21" t="s">
        <v>4</v>
      </c>
      <c r="H52" s="21" t="s">
        <v>145</v>
      </c>
      <c r="I52" s="21" t="s">
        <v>301</v>
      </c>
      <c r="J52" s="21"/>
      <c r="K52" s="21"/>
    </row>
    <row r="53" customFormat="false" ht="78" hidden="false" customHeight="true" outlineLevel="0" collapsed="false">
      <c r="A53" s="20" t="s">
        <v>302</v>
      </c>
      <c r="B53" s="21" t="s">
        <v>21</v>
      </c>
      <c r="C53" s="21" t="s">
        <v>303</v>
      </c>
      <c r="D53" s="21" t="s">
        <v>304</v>
      </c>
      <c r="E53" s="21" t="s">
        <v>3</v>
      </c>
      <c r="F53" s="21" t="s">
        <v>42</v>
      </c>
      <c r="G53" s="21" t="s">
        <v>4</v>
      </c>
      <c r="H53" s="21" t="s">
        <v>298</v>
      </c>
      <c r="I53" s="21" t="s">
        <v>305</v>
      </c>
      <c r="J53" s="21"/>
      <c r="K53" s="21"/>
    </row>
    <row r="54" customFormat="false" ht="78" hidden="false" customHeight="true" outlineLevel="0" collapsed="false">
      <c r="A54" s="24" t="s">
        <v>306</v>
      </c>
      <c r="B54" s="25" t="s">
        <v>21</v>
      </c>
      <c r="C54" s="25" t="s">
        <v>307</v>
      </c>
      <c r="D54" s="25" t="s">
        <v>308</v>
      </c>
      <c r="E54" s="25" t="s">
        <v>7</v>
      </c>
      <c r="F54" s="25" t="s">
        <v>41</v>
      </c>
      <c r="G54" s="25" t="s">
        <v>4</v>
      </c>
      <c r="H54" s="25" t="s">
        <v>309</v>
      </c>
      <c r="I54" s="25" t="s">
        <v>310</v>
      </c>
      <c r="J54" s="25"/>
      <c r="K54" s="25"/>
    </row>
    <row r="55" customFormat="false" ht="78" hidden="false" customHeight="true" outlineLevel="0" collapsed="false">
      <c r="A55" s="22" t="s">
        <v>246</v>
      </c>
      <c r="B55" s="23" t="s">
        <v>35</v>
      </c>
      <c r="C55" s="23" t="s">
        <v>311</v>
      </c>
      <c r="D55" s="23" t="s">
        <v>312</v>
      </c>
      <c r="E55" s="23" t="s">
        <v>5</v>
      </c>
      <c r="F55" s="23" t="s">
        <v>41</v>
      </c>
      <c r="G55" s="23" t="s">
        <v>4</v>
      </c>
      <c r="H55" s="23" t="s">
        <v>149</v>
      </c>
      <c r="I55" s="23" t="s">
        <v>313</v>
      </c>
      <c r="J55" s="23"/>
      <c r="K55" s="23"/>
    </row>
    <row r="56" customFormat="false" ht="78" hidden="false" customHeight="true" outlineLevel="0" collapsed="false">
      <c r="A56" s="24" t="s">
        <v>314</v>
      </c>
      <c r="B56" s="25" t="s">
        <v>35</v>
      </c>
      <c r="C56" s="25" t="s">
        <v>315</v>
      </c>
      <c r="D56" s="25" t="s">
        <v>316</v>
      </c>
      <c r="E56" s="25" t="s">
        <v>7</v>
      </c>
      <c r="F56" s="25" t="s">
        <v>41</v>
      </c>
      <c r="G56" s="25" t="s">
        <v>4</v>
      </c>
      <c r="H56" s="25" t="s">
        <v>317</v>
      </c>
      <c r="I56" s="25" t="s">
        <v>318</v>
      </c>
      <c r="J56" s="25"/>
      <c r="K56" s="25"/>
    </row>
    <row r="57" customFormat="false" ht="78" hidden="false" customHeight="true" outlineLevel="0" collapsed="false">
      <c r="A57" s="22" t="s">
        <v>319</v>
      </c>
      <c r="B57" s="23" t="s">
        <v>20</v>
      </c>
      <c r="C57" s="23" t="s">
        <v>320</v>
      </c>
      <c r="D57" s="23" t="s">
        <v>321</v>
      </c>
      <c r="E57" s="23" t="s">
        <v>5</v>
      </c>
      <c r="F57" s="23" t="s">
        <v>41</v>
      </c>
      <c r="G57" s="23" t="s">
        <v>4</v>
      </c>
      <c r="H57" s="23" t="s">
        <v>289</v>
      </c>
      <c r="I57" s="23" t="s">
        <v>322</v>
      </c>
      <c r="J57" s="23"/>
      <c r="K57" s="23"/>
    </row>
    <row r="58" customFormat="false" ht="78" hidden="false" customHeight="true" outlineLevel="0" collapsed="false">
      <c r="A58" s="24" t="s">
        <v>323</v>
      </c>
      <c r="B58" s="25" t="s">
        <v>20</v>
      </c>
      <c r="C58" s="25" t="s">
        <v>324</v>
      </c>
      <c r="D58" s="25" t="s">
        <v>325</v>
      </c>
      <c r="E58" s="25" t="s">
        <v>7</v>
      </c>
      <c r="F58" s="25" t="s">
        <v>44</v>
      </c>
      <c r="G58" s="25" t="s">
        <v>4</v>
      </c>
      <c r="H58" s="25" t="s">
        <v>319</v>
      </c>
      <c r="I58" s="25" t="s">
        <v>326</v>
      </c>
      <c r="J58" s="25"/>
      <c r="K58" s="25"/>
    </row>
    <row r="59" customFormat="false" ht="78" hidden="false" customHeight="true" outlineLevel="0" collapsed="false">
      <c r="A59" s="24" t="s">
        <v>327</v>
      </c>
      <c r="B59" s="25" t="s">
        <v>20</v>
      </c>
      <c r="C59" s="25" t="s">
        <v>328</v>
      </c>
      <c r="D59" s="25" t="s">
        <v>329</v>
      </c>
      <c r="E59" s="25" t="s">
        <v>7</v>
      </c>
      <c r="F59" s="25" t="s">
        <v>41</v>
      </c>
      <c r="G59" s="25" t="s">
        <v>4</v>
      </c>
      <c r="H59" s="25" t="s">
        <v>246</v>
      </c>
      <c r="I59" s="25" t="s">
        <v>330</v>
      </c>
      <c r="J59" s="25"/>
      <c r="K59" s="25"/>
    </row>
    <row r="60" customFormat="false" ht="78" hidden="false" customHeight="true" outlineLevel="0" collapsed="false">
      <c r="A60" s="20" t="s">
        <v>331</v>
      </c>
      <c r="B60" s="21" t="s">
        <v>23</v>
      </c>
      <c r="C60" s="21" t="s">
        <v>332</v>
      </c>
      <c r="D60" s="21" t="s">
        <v>333</v>
      </c>
      <c r="E60" s="21" t="s">
        <v>3</v>
      </c>
      <c r="F60" s="21" t="s">
        <v>41</v>
      </c>
      <c r="G60" s="21" t="s">
        <v>4</v>
      </c>
      <c r="H60" s="21" t="s">
        <v>87</v>
      </c>
      <c r="I60" s="21" t="s">
        <v>334</v>
      </c>
      <c r="J60" s="21"/>
      <c r="K60" s="21"/>
    </row>
    <row r="61" customFormat="false" ht="78" hidden="false" customHeight="true" outlineLevel="0" collapsed="false">
      <c r="A61" s="26" t="s">
        <v>335</v>
      </c>
      <c r="B61" s="27" t="s">
        <v>37</v>
      </c>
      <c r="C61" s="27" t="s">
        <v>336</v>
      </c>
      <c r="D61" s="27" t="s">
        <v>337</v>
      </c>
      <c r="E61" s="27" t="s">
        <v>9</v>
      </c>
      <c r="F61" s="27" t="s">
        <v>47</v>
      </c>
      <c r="G61" s="27" t="s">
        <v>4</v>
      </c>
      <c r="H61" s="27" t="s">
        <v>338</v>
      </c>
      <c r="I61" s="27" t="s">
        <v>339</v>
      </c>
      <c r="J61" s="27"/>
      <c r="K61" s="27"/>
    </row>
    <row r="62" customFormat="false" ht="78" hidden="false" customHeight="true" outlineLevel="0" collapsed="false">
      <c r="A62" s="26" t="s">
        <v>340</v>
      </c>
      <c r="B62" s="27" t="s">
        <v>37</v>
      </c>
      <c r="C62" s="27" t="s">
        <v>341</v>
      </c>
      <c r="D62" s="27" t="s">
        <v>342</v>
      </c>
      <c r="E62" s="27" t="s">
        <v>9</v>
      </c>
      <c r="F62" s="27" t="s">
        <v>47</v>
      </c>
      <c r="G62" s="27" t="s">
        <v>4</v>
      </c>
      <c r="H62" s="27" t="s">
        <v>343</v>
      </c>
      <c r="I62" s="27" t="s">
        <v>344</v>
      </c>
      <c r="J62" s="27"/>
      <c r="K62" s="27"/>
    </row>
    <row r="63" customFormat="false" ht="78" hidden="false" customHeight="true" outlineLevel="0" collapsed="false">
      <c r="A63" s="26" t="s">
        <v>345</v>
      </c>
      <c r="B63" s="27" t="s">
        <v>37</v>
      </c>
      <c r="C63" s="27" t="s">
        <v>346</v>
      </c>
      <c r="D63" s="27" t="s">
        <v>347</v>
      </c>
      <c r="E63" s="27" t="s">
        <v>9</v>
      </c>
      <c r="F63" s="27" t="s">
        <v>48</v>
      </c>
      <c r="G63" s="27" t="s">
        <v>4</v>
      </c>
      <c r="H63" s="27" t="s">
        <v>340</v>
      </c>
      <c r="I63" s="27" t="s">
        <v>348</v>
      </c>
      <c r="J63" s="27"/>
      <c r="K63" s="27"/>
    </row>
  </sheetData>
  <autoFilter ref="A1:K63"/>
  <dataValidations count="2">
    <dataValidation allowBlank="false" errorStyle="stop" operator="between" showDropDown="false" showErrorMessage="false" showInputMessage="false" sqref="G2:G63" type="list">
      <formula1>"À faire,En cours,En revue,Fait,Bloqué,Plus tard"</formula1>
      <formula2>0</formula2>
    </dataValidation>
    <dataValidation allowBlank="false" errorStyle="stop" operator="between" showDropDown="false" showErrorMessage="false" showInputMessage="false" sqref="E2:E63" type="list">
      <formula1>"P0,P1,P2,P3"</formula1>
      <formula2>0</formula2>
    </dataValidation>
  </dataValidation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&amp;LSentier — Backlog fonctionnel</oddHeader>
    <oddFooter>&amp;RPage &amp;P / &amp;N</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F3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16"/>
    <col collapsed="false" customWidth="true" hidden="false" outlineLevel="0" max="3" min="3" style="0" width="14"/>
    <col collapsed="false" customWidth="true" hidden="false" outlineLevel="0" max="4" min="4" style="0" width="28"/>
    <col collapsed="false" customWidth="true" hidden="false" outlineLevel="0" max="5" min="5" style="0" width="52"/>
  </cols>
  <sheetData>
    <row r="2" customFormat="false" ht="22.05" hidden="false" customHeight="false" outlineLevel="0" collapsed="false">
      <c r="B2" s="1" t="s">
        <v>349</v>
      </c>
      <c r="C2" s="1"/>
      <c r="D2" s="1"/>
      <c r="E2" s="1"/>
      <c r="F2" s="1"/>
    </row>
    <row r="3" customFormat="false" ht="36" hidden="false" customHeight="true" outlineLevel="0" collapsed="false">
      <c r="B3" s="17" t="s">
        <v>350</v>
      </c>
      <c r="C3" s="17"/>
      <c r="D3" s="17"/>
      <c r="E3" s="17"/>
      <c r="F3" s="17"/>
    </row>
    <row r="5" customFormat="false" ht="15" hidden="false" customHeight="false" outlineLevel="0" collapsed="false">
      <c r="B5" s="9" t="s">
        <v>351</v>
      </c>
      <c r="C5" s="9" t="s">
        <v>69</v>
      </c>
      <c r="D5" s="9" t="s">
        <v>70</v>
      </c>
      <c r="E5" s="9" t="s">
        <v>352</v>
      </c>
    </row>
    <row r="6" customFormat="false" ht="21.75" hidden="false" customHeight="true" outlineLevel="0" collapsed="false">
      <c r="B6" s="21" t="s">
        <v>353</v>
      </c>
      <c r="C6" s="20" t="s">
        <v>107</v>
      </c>
      <c r="D6" s="21" t="s">
        <v>354</v>
      </c>
      <c r="E6" s="21" t="s">
        <v>355</v>
      </c>
    </row>
    <row r="7" customFormat="false" ht="21.75" hidden="false" customHeight="true" outlineLevel="0" collapsed="false">
      <c r="B7" s="28" t="s">
        <v>356</v>
      </c>
      <c r="C7" s="29" t="s">
        <v>111</v>
      </c>
      <c r="D7" s="28" t="s">
        <v>357</v>
      </c>
      <c r="E7" s="28" t="s">
        <v>358</v>
      </c>
    </row>
    <row r="8" customFormat="false" ht="21.75" hidden="false" customHeight="true" outlineLevel="0" collapsed="false">
      <c r="B8" s="21" t="s">
        <v>359</v>
      </c>
      <c r="C8" s="20" t="s">
        <v>124</v>
      </c>
      <c r="D8" s="21" t="s">
        <v>360</v>
      </c>
      <c r="E8" s="21" t="s">
        <v>361</v>
      </c>
    </row>
    <row r="9" customFormat="false" ht="21.75" hidden="false" customHeight="true" outlineLevel="0" collapsed="false">
      <c r="B9" s="28" t="s">
        <v>362</v>
      </c>
      <c r="C9" s="29" t="s">
        <v>128</v>
      </c>
      <c r="D9" s="28" t="s">
        <v>363</v>
      </c>
      <c r="E9" s="28" t="s">
        <v>364</v>
      </c>
    </row>
    <row r="10" customFormat="false" ht="21.75" hidden="false" customHeight="true" outlineLevel="0" collapsed="false">
      <c r="B10" s="21" t="s">
        <v>365</v>
      </c>
      <c r="C10" s="20" t="s">
        <v>145</v>
      </c>
      <c r="D10" s="21" t="s">
        <v>366</v>
      </c>
      <c r="E10" s="21" t="s">
        <v>367</v>
      </c>
    </row>
    <row r="11" customFormat="false" ht="21.75" hidden="false" customHeight="true" outlineLevel="0" collapsed="false">
      <c r="B11" s="28" t="s">
        <v>368</v>
      </c>
      <c r="C11" s="29" t="s">
        <v>280</v>
      </c>
      <c r="D11" s="28" t="s">
        <v>369</v>
      </c>
      <c r="E11" s="28" t="s">
        <v>370</v>
      </c>
    </row>
    <row r="12" customFormat="false" ht="21.75" hidden="false" customHeight="true" outlineLevel="0" collapsed="false">
      <c r="B12" s="21" t="s">
        <v>371</v>
      </c>
      <c r="C12" s="20" t="s">
        <v>285</v>
      </c>
      <c r="D12" s="21" t="s">
        <v>372</v>
      </c>
      <c r="E12" s="21" t="s">
        <v>373</v>
      </c>
    </row>
    <row r="13" customFormat="false" ht="21.75" hidden="false" customHeight="true" outlineLevel="0" collapsed="false">
      <c r="B13" s="28" t="s">
        <v>374</v>
      </c>
      <c r="C13" s="29" t="s">
        <v>289</v>
      </c>
      <c r="D13" s="28" t="s">
        <v>375</v>
      </c>
      <c r="E13" s="28" t="s">
        <v>376</v>
      </c>
    </row>
    <row r="14" customFormat="false" ht="21.75" hidden="false" customHeight="true" outlineLevel="0" collapsed="false">
      <c r="B14" s="21" t="s">
        <v>377</v>
      </c>
      <c r="C14" s="20" t="s">
        <v>140</v>
      </c>
      <c r="D14" s="21" t="s">
        <v>378</v>
      </c>
      <c r="E14" s="21" t="s">
        <v>379</v>
      </c>
    </row>
    <row r="15" customFormat="false" ht="21.75" hidden="false" customHeight="true" outlineLevel="0" collapsed="false">
      <c r="B15" s="28" t="s">
        <v>380</v>
      </c>
      <c r="C15" s="29" t="s">
        <v>298</v>
      </c>
      <c r="D15" s="28" t="s">
        <v>381</v>
      </c>
      <c r="E15" s="28" t="s">
        <v>382</v>
      </c>
    </row>
    <row r="16" customFormat="false" ht="21.75" hidden="false" customHeight="true" outlineLevel="0" collapsed="false">
      <c r="B16" s="21" t="s">
        <v>383</v>
      </c>
      <c r="C16" s="20" t="s">
        <v>302</v>
      </c>
      <c r="D16" s="21" t="s">
        <v>384</v>
      </c>
      <c r="E16" s="21" t="s">
        <v>385</v>
      </c>
    </row>
    <row r="17" customFormat="false" ht="21.75" hidden="false" customHeight="true" outlineLevel="0" collapsed="false">
      <c r="B17" s="28" t="s">
        <v>386</v>
      </c>
      <c r="C17" s="29" t="s">
        <v>78</v>
      </c>
      <c r="D17" s="28" t="s">
        <v>387</v>
      </c>
      <c r="E17" s="28" t="s">
        <v>388</v>
      </c>
    </row>
    <row r="18" customFormat="false" ht="21.75" hidden="false" customHeight="true" outlineLevel="0" collapsed="false">
      <c r="B18" s="21" t="s">
        <v>389</v>
      </c>
      <c r="C18" s="20" t="s">
        <v>91</v>
      </c>
      <c r="D18" s="21" t="s">
        <v>92</v>
      </c>
      <c r="E18" s="21" t="s">
        <v>390</v>
      </c>
    </row>
    <row r="19" customFormat="false" ht="21.75" hidden="false" customHeight="true" outlineLevel="0" collapsed="false">
      <c r="B19" s="28" t="s">
        <v>391</v>
      </c>
      <c r="C19" s="29" t="s">
        <v>99</v>
      </c>
      <c r="D19" s="28" t="s">
        <v>392</v>
      </c>
      <c r="E19" s="28" t="s">
        <v>393</v>
      </c>
    </row>
    <row r="20" customFormat="false" ht="21.75" hidden="false" customHeight="true" outlineLevel="0" collapsed="false">
      <c r="B20" s="21" t="s">
        <v>394</v>
      </c>
      <c r="C20" s="20" t="s">
        <v>103</v>
      </c>
      <c r="D20" s="21" t="s">
        <v>395</v>
      </c>
      <c r="E20" s="21" t="s">
        <v>396</v>
      </c>
    </row>
    <row r="21" customFormat="false" ht="21.75" hidden="false" customHeight="true" outlineLevel="0" collapsed="false">
      <c r="B21" s="28" t="s">
        <v>397</v>
      </c>
      <c r="C21" s="29" t="s">
        <v>115</v>
      </c>
      <c r="D21" s="28" t="s">
        <v>398</v>
      </c>
      <c r="E21" s="28" t="s">
        <v>399</v>
      </c>
    </row>
    <row r="22" customFormat="false" ht="21.75" hidden="false" customHeight="true" outlineLevel="0" collapsed="false">
      <c r="B22" s="21" t="s">
        <v>400</v>
      </c>
      <c r="C22" s="20" t="s">
        <v>208</v>
      </c>
      <c r="D22" s="21" t="s">
        <v>401</v>
      </c>
      <c r="E22" s="21" t="s">
        <v>402</v>
      </c>
    </row>
    <row r="23" customFormat="false" ht="21.75" hidden="false" customHeight="true" outlineLevel="0" collapsed="false">
      <c r="B23" s="28" t="s">
        <v>403</v>
      </c>
      <c r="C23" s="29" t="s">
        <v>225</v>
      </c>
      <c r="D23" s="28" t="s">
        <v>404</v>
      </c>
      <c r="E23" s="28" t="s">
        <v>405</v>
      </c>
    </row>
    <row r="24" customFormat="false" ht="21.75" hidden="false" customHeight="true" outlineLevel="0" collapsed="false">
      <c r="B24" s="21" t="s">
        <v>406</v>
      </c>
      <c r="C24" s="20" t="s">
        <v>229</v>
      </c>
      <c r="D24" s="21" t="s">
        <v>407</v>
      </c>
      <c r="E24" s="21" t="s">
        <v>408</v>
      </c>
    </row>
    <row r="25" customFormat="false" ht="21.75" hidden="false" customHeight="true" outlineLevel="0" collapsed="false">
      <c r="B25" s="28" t="s">
        <v>409</v>
      </c>
      <c r="C25" s="29" t="s">
        <v>149</v>
      </c>
      <c r="D25" s="28" t="s">
        <v>410</v>
      </c>
      <c r="E25" s="28" t="s">
        <v>411</v>
      </c>
    </row>
    <row r="26" customFormat="false" ht="21.75" hidden="false" customHeight="true" outlineLevel="0" collapsed="false">
      <c r="B26" s="21" t="s">
        <v>412</v>
      </c>
      <c r="C26" s="20" t="s">
        <v>154</v>
      </c>
      <c r="D26" s="21" t="s">
        <v>413</v>
      </c>
      <c r="E26" s="21" t="s">
        <v>414</v>
      </c>
    </row>
    <row r="27" customFormat="false" ht="21.75" hidden="false" customHeight="true" outlineLevel="0" collapsed="false">
      <c r="B27" s="28" t="s">
        <v>415</v>
      </c>
      <c r="C27" s="29" t="s">
        <v>164</v>
      </c>
      <c r="D27" s="28" t="s">
        <v>416</v>
      </c>
      <c r="E27" s="28" t="s">
        <v>417</v>
      </c>
    </row>
    <row r="28" customFormat="false" ht="21.75" hidden="false" customHeight="true" outlineLevel="0" collapsed="false">
      <c r="B28" s="21" t="s">
        <v>418</v>
      </c>
      <c r="C28" s="20" t="s">
        <v>190</v>
      </c>
      <c r="D28" s="21" t="s">
        <v>419</v>
      </c>
      <c r="E28" s="21" t="s">
        <v>420</v>
      </c>
    </row>
    <row r="29" customFormat="false" ht="21.75" hidden="false" customHeight="true" outlineLevel="0" collapsed="false">
      <c r="B29" s="28" t="s">
        <v>421</v>
      </c>
      <c r="C29" s="29" t="s">
        <v>95</v>
      </c>
      <c r="D29" s="28" t="s">
        <v>422</v>
      </c>
      <c r="E29" s="28" t="s">
        <v>423</v>
      </c>
    </row>
    <row r="30" customFormat="false" ht="21.75" hidden="false" customHeight="true" outlineLevel="0" collapsed="false">
      <c r="B30" s="21" t="s">
        <v>424</v>
      </c>
      <c r="C30" s="20" t="s">
        <v>195</v>
      </c>
      <c r="D30" s="21" t="s">
        <v>196</v>
      </c>
      <c r="E30" s="21" t="s">
        <v>425</v>
      </c>
    </row>
    <row r="31" customFormat="false" ht="21.75" hidden="false" customHeight="true" outlineLevel="0" collapsed="false">
      <c r="B31" s="28" t="s">
        <v>426</v>
      </c>
      <c r="C31" s="29" t="s">
        <v>203</v>
      </c>
      <c r="D31" s="28" t="s">
        <v>427</v>
      </c>
      <c r="E31" s="28" t="s">
        <v>428</v>
      </c>
    </row>
    <row r="32" customFormat="false" ht="21.75" hidden="false" customHeight="true" outlineLevel="0" collapsed="false">
      <c r="B32" s="21" t="s">
        <v>429</v>
      </c>
      <c r="C32" s="20" t="s">
        <v>257</v>
      </c>
      <c r="D32" s="21" t="s">
        <v>430</v>
      </c>
      <c r="E32" s="21" t="s">
        <v>431</v>
      </c>
    </row>
    <row r="33" customFormat="false" ht="21.75" hidden="false" customHeight="true" outlineLevel="0" collapsed="false">
      <c r="B33" s="28" t="s">
        <v>432</v>
      </c>
      <c r="C33" s="29" t="s">
        <v>331</v>
      </c>
      <c r="D33" s="28" t="s">
        <v>433</v>
      </c>
      <c r="E33" s="28" t="s">
        <v>434</v>
      </c>
    </row>
  </sheetData>
  <mergeCells count="2">
    <mergeCell ref="B2:F2"/>
    <mergeCell ref="B3:F3"/>
  </mergeCells>
  <printOptions headings="false" gridLines="false" gridLinesSet="true" horizontalCentered="false" verticalCentered="false"/>
  <pageMargins left="0.75" right="0.75" top="1" bottom="1" header="0.5" footer="0.5"/>
  <pageSetup paperSize="9" scale="100" fitToWidth="1" fitToHeight="1" pageOrder="downThenOver" orientation="landscape" blackAndWhite="false" draft="false" cellComments="none" horizontalDpi="300" verticalDpi="300" copies="1"/>
  <headerFooter differentFirst="false" differentOddEven="false">
    <oddHeader>&amp;LSentier — Sprint 0</oddHeader>
    <oddFooter>&amp;RPage &amp;P / &amp;N</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2026-09-03T00:32:29Z</dcterms:created>
  <dc:creator>openpyxl</dc:creator>
  <dc:description/>
  <dc:language>en-US</dc:language>
  <cp:lastModifiedBy/>
  <dcterms:modified xsi:type="dcterms:W3CDTF">2026-09-03T00:32:29Z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